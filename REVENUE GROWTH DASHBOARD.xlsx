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5FD9F6E-8C69-4882-9063-9380724031EC}" xr6:coauthVersionLast="36" xr6:coauthVersionMax="36" xr10:uidLastSave="{00000000-0000-0000-0000-000000000000}"/>
  <bookViews>
    <workbookView xWindow="0" yWindow="0" windowWidth="20490" windowHeight="7425" xr2:uid="{39A38373-B72A-4DA8-A6A1-735F2D894557}"/>
  </bookViews>
  <sheets>
    <sheet name="DASHBOARD -2" sheetId="1" r:id="rId1"/>
  </sheets>
  <externalReferences>
    <externalReference r:id="rId2"/>
    <externalReference r:id="rId3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#REF!</definedName>
    <definedName name="valregion">#REF!</definedName>
    <definedName name="valyear">#REF!</definedName>
    <definedName name="vblhelpstatu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R4" i="1"/>
  <c r="A12" i="1"/>
  <c r="E18" i="1"/>
  <c r="F18" i="1" s="1"/>
  <c r="E30" i="1"/>
  <c r="F30" i="1" s="1"/>
  <c r="D36" i="1"/>
  <c r="H36" i="1"/>
  <c r="I36" i="1"/>
  <c r="I18" i="1" s="1"/>
  <c r="J18" i="1" s="1"/>
  <c r="J36" i="1"/>
  <c r="M36" i="1"/>
  <c r="N36" i="1"/>
  <c r="Q36" i="1"/>
  <c r="D37" i="1"/>
  <c r="E21" i="1" s="1"/>
  <c r="F21" i="1" s="1"/>
  <c r="H37" i="1"/>
  <c r="I37" i="1"/>
  <c r="J37" i="1"/>
  <c r="J44" i="1" s="1"/>
  <c r="M37" i="1"/>
  <c r="N37" i="1"/>
  <c r="Q37" i="1"/>
  <c r="D38" i="1"/>
  <c r="E24" i="1" s="1"/>
  <c r="F24" i="1" s="1"/>
  <c r="H38" i="1"/>
  <c r="I38" i="1"/>
  <c r="I24" i="1" s="1"/>
  <c r="J24" i="1" s="1"/>
  <c r="J38" i="1"/>
  <c r="M38" i="1"/>
  <c r="N38" i="1"/>
  <c r="Q38" i="1"/>
  <c r="D39" i="1"/>
  <c r="E27" i="1" s="1"/>
  <c r="F27" i="1" s="1"/>
  <c r="H39" i="1"/>
  <c r="I39" i="1"/>
  <c r="J39" i="1"/>
  <c r="M27" i="1" s="1"/>
  <c r="N27" i="1" s="1"/>
  <c r="M39" i="1"/>
  <c r="N39" i="1"/>
  <c r="Q39" i="1" s="1"/>
  <c r="D40" i="1"/>
  <c r="H40" i="1"/>
  <c r="I40" i="1"/>
  <c r="I30" i="1" s="1"/>
  <c r="J30" i="1" s="1"/>
  <c r="J40" i="1"/>
  <c r="M40" i="1"/>
  <c r="N40" i="1"/>
  <c r="Q40" i="1"/>
  <c r="B44" i="1"/>
  <c r="C44" i="1"/>
  <c r="H4" i="1" s="1"/>
  <c r="D44" i="1"/>
  <c r="E44" i="1"/>
  <c r="M4" i="1" s="1"/>
  <c r="F44" i="1"/>
  <c r="A7" i="1" s="1"/>
  <c r="G44" i="1"/>
  <c r="H44" i="1"/>
  <c r="A14" i="1" s="1"/>
  <c r="I44" i="1"/>
  <c r="J4" i="1" s="1"/>
  <c r="K44" i="1"/>
  <c r="L44" i="1"/>
  <c r="N44" i="1" s="1"/>
  <c r="M44" i="1"/>
  <c r="R12" i="1" s="1"/>
  <c r="R14" i="1" l="1"/>
  <c r="P44" i="1"/>
  <c r="R16" i="1" s="1"/>
  <c r="O4" i="1"/>
  <c r="M18" i="1"/>
  <c r="N18" i="1" s="1"/>
  <c r="M30" i="1"/>
  <c r="N30" i="1" s="1"/>
  <c r="M24" i="1"/>
  <c r="N24" i="1" s="1"/>
  <c r="I27" i="1"/>
  <c r="J27" i="1" s="1"/>
  <c r="I21" i="1"/>
  <c r="J21" i="1" s="1"/>
  <c r="M21" i="1"/>
  <c r="N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3" authorId="0" shapeId="0" xr:uid="{8A8D6CF6-641A-42BA-9BF7-42D948712389}">
      <text>
        <r>
          <rPr>
            <sz val="10"/>
            <color rgb="FF000000"/>
            <rFont val="Calibri"/>
            <family val="2"/>
            <scheme val="minor"/>
          </rPr>
          <t xml:space="preserve">This table here is Non editable, it is already formulated. refrain from editing. </t>
        </r>
      </text>
    </comment>
  </commentList>
</comments>
</file>

<file path=xl/sharedStrings.xml><?xml version="1.0" encoding="utf-8"?>
<sst xmlns="http://schemas.openxmlformats.org/spreadsheetml/2006/main" count="70" uniqueCount="36">
  <si>
    <t>ROI</t>
  </si>
  <si>
    <t>CAMPAIGN PROFIT</t>
  </si>
  <si>
    <t>REVENUE GROWTH</t>
  </si>
  <si>
    <t>POST- CAMPAIGN</t>
  </si>
  <si>
    <t>PRE-CAMPAIGN</t>
  </si>
  <si>
    <t>CPA</t>
  </si>
  <si>
    <t>CPC</t>
  </si>
  <si>
    <t>BUDGET 
vs. SPEND</t>
  </si>
  <si>
    <t>SPEND</t>
  </si>
  <si>
    <t>BUDGET</t>
  </si>
  <si>
    <t>ACQUISITIONS</t>
  </si>
  <si>
    <t>CTR</t>
  </si>
  <si>
    <t>CLICKS</t>
  </si>
  <si>
    <t>IMPRESSIONS</t>
  </si>
  <si>
    <t xml:space="preserve">OVERALL </t>
  </si>
  <si>
    <t>CAMPAIGN 5</t>
  </si>
  <si>
    <t>CAMPAIGN 4</t>
  </si>
  <si>
    <t>CAMPAIGN 3</t>
  </si>
  <si>
    <t>CAMPAIGN 2</t>
  </si>
  <si>
    <t>CAMPAIGN 1</t>
  </si>
  <si>
    <t>CAMPAIGN</t>
  </si>
  <si>
    <t>( CAMPAIGN PROFIT 
/ ACTUAL SPEND )</t>
  </si>
  <si>
    <t>( POST-CAMPAIGN REV
  – CAMPAIGN SPEND )</t>
  </si>
  <si>
    <t>( POST – PRE )</t>
  </si>
  <si>
    <t>REVENUE</t>
  </si>
  <si>
    <t>R O I</t>
  </si>
  <si>
    <t>CPA PER CAMPAIGN</t>
  </si>
  <si>
    <t>CPC PER CAMPAIGN</t>
  </si>
  <si>
    <t>CTR PER CAMPAIGN</t>
  </si>
  <si>
    <t>PROFIT</t>
  </si>
  <si>
    <t>VARIANCE</t>
  </si>
  <si>
    <t>TOTAL SPEND</t>
  </si>
  <si>
    <t>TOTAL BUDGET</t>
  </si>
  <si>
    <t>DATE TODAY:</t>
  </si>
  <si>
    <t>COST PER CLICK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</si>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</sst>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_(&quot;$&quot;* #,##0_);_(&quot;$&quot;* \(#,##0\);_(&quot;$&quot;* &quot;-&quot;??_);_(@_)"/>
    <numFmt numFmtId="166" formatCode="&quot;$&quot;#,##0.00"/>
    <numFmt numFmtId="167" formatCode="0.0%"/>
    <numFmt numFmtId="168" formatCode="d&quot;-&quot;mmm&quot;-&quot;yyyy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Poppins"/>
    </font>
    <font>
      <b/>
      <sz val="18"/>
      <color rgb="FF434343"/>
      <name val="Poppins"/>
    </font>
    <font>
      <b/>
      <sz val="11"/>
      <color rgb="FF434343"/>
      <name val="Poppins"/>
    </font>
    <font>
      <sz val="10"/>
      <color rgb="FF000000"/>
      <name val="Calibri"/>
      <family val="2"/>
      <scheme val="minor"/>
    </font>
    <font>
      <b/>
      <sz val="8"/>
      <color rgb="FFD0E0E3"/>
      <name val="Poppins"/>
    </font>
    <font>
      <b/>
      <sz val="16"/>
      <color rgb="FFD0E0E3"/>
      <name val="Poppins"/>
    </font>
    <font>
      <sz val="10"/>
      <color theme="0"/>
      <name val="Poppins"/>
    </font>
    <font>
      <sz val="10"/>
      <color rgb="FFFFFFFF"/>
      <name val="Poppins"/>
    </font>
    <font>
      <b/>
      <sz val="31"/>
      <color rgb="FFFFFFFF"/>
      <name val="Poppins"/>
    </font>
    <font>
      <sz val="11"/>
      <color theme="1"/>
      <name val="Poppins"/>
    </font>
    <font>
      <sz val="10"/>
      <name val="Arial"/>
      <family val="2"/>
    </font>
    <font>
      <b/>
      <sz val="14"/>
      <color rgb="FFD9EAD3"/>
      <name val="Poppins"/>
    </font>
    <font>
      <sz val="20"/>
      <color rgb="FFFFFFFF"/>
      <name val="Poppins"/>
    </font>
    <font>
      <b/>
      <sz val="31"/>
      <color rgb="FFFFFFFF"/>
      <name val="Calibri"/>
      <family val="2"/>
      <scheme val="minor"/>
    </font>
    <font>
      <b/>
      <u val="double"/>
      <sz val="14"/>
      <color rgb="FFD9EAD3"/>
      <name val="Poppins"/>
    </font>
    <font>
      <b/>
      <sz val="26"/>
      <color rgb="FFFFFFFF"/>
      <name val="Poppins"/>
    </font>
    <font>
      <b/>
      <sz val="24"/>
      <color rgb="FFFFFFFF"/>
      <name val="Poppins"/>
    </font>
    <font>
      <b/>
      <sz val="38"/>
      <color rgb="FFFFFFFF"/>
      <name val="Poppins"/>
    </font>
    <font>
      <b/>
      <sz val="13"/>
      <color rgb="FFD9EAD3"/>
      <name val="Poppins"/>
    </font>
    <font>
      <b/>
      <sz val="28"/>
      <color rgb="FFFFFFFF"/>
      <name val="Cinzel"/>
    </font>
  </fonts>
  <fills count="10">
    <fill>
      <patternFill patternType="none"/>
    </fill>
    <fill>
      <patternFill patternType="gray125"/>
    </fill>
    <fill>
      <patternFill patternType="solid">
        <fgColor rgb="FF0C343D"/>
        <bgColor indexed="64"/>
      </patternFill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55A1AB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90D7DD"/>
        <bgColor rgb="FF45818E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theme="0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theme="0"/>
      </top>
      <bottom style="thin">
        <color rgb="FFBFBFBF"/>
      </bottom>
      <diagonal/>
    </border>
    <border>
      <left/>
      <right/>
      <top style="thin">
        <color theme="0"/>
      </top>
      <bottom style="thin">
        <color rgb="FFBFBFBF"/>
      </bottom>
      <diagonal/>
    </border>
    <border>
      <left style="thin">
        <color rgb="FFBFBFBF"/>
      </left>
      <right/>
      <top style="thin">
        <color theme="0"/>
      </top>
      <bottom style="thin">
        <color rgb="FFBFBFBF"/>
      </bottom>
      <diagonal/>
    </border>
    <border>
      <left style="thin">
        <color rgb="FFBFBFBF"/>
      </left>
      <right style="thin">
        <color theme="0"/>
      </right>
      <top/>
      <bottom style="thin">
        <color rgb="FFBFBFBF"/>
      </bottom>
      <diagonal/>
    </border>
    <border>
      <left/>
      <right style="thin">
        <color theme="0"/>
      </right>
      <top style="thin">
        <color rgb="FFD9EAD3"/>
      </top>
      <bottom style="thin">
        <color theme="0"/>
      </bottom>
      <diagonal/>
    </border>
    <border>
      <left/>
      <right/>
      <top style="thin">
        <color rgb="FFD9EAD3"/>
      </top>
      <bottom style="thin">
        <color theme="0"/>
      </bottom>
      <diagonal/>
    </border>
    <border>
      <left style="thin">
        <color theme="0"/>
      </left>
      <right/>
      <top style="thin">
        <color rgb="FFD9EAD3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/>
      <right/>
      <top style="double">
        <color rgb="FFD9EAD3"/>
      </top>
      <bottom/>
      <diagonal/>
    </border>
    <border>
      <left/>
      <right/>
      <top/>
      <bottom style="thin">
        <color rgb="FFD9EAD3"/>
      </bottom>
      <diagonal/>
    </border>
    <border>
      <left/>
      <right/>
      <top/>
      <bottom style="double">
        <color rgb="FFD9EAD3"/>
      </bottom>
      <diagonal/>
    </border>
    <border>
      <left/>
      <right style="thin">
        <color rgb="FFD9EAD3"/>
      </right>
      <top/>
      <bottom style="double">
        <color rgb="FFD9EAD3"/>
      </bottom>
      <diagonal/>
    </border>
    <border>
      <left style="thin">
        <color rgb="FFD9EAD3"/>
      </left>
      <right/>
      <top/>
      <bottom style="double">
        <color rgb="FFD9EAD3"/>
      </bottom>
      <diagonal/>
    </border>
    <border>
      <left/>
      <right style="thin">
        <color rgb="FFD9EAD3"/>
      </right>
      <top/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/>
      <top style="thin">
        <color rgb="FFD9EAD3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01">
    <xf numFmtId="0" fontId="0" fillId="0" borderId="0" xfId="0"/>
    <xf numFmtId="0" fontId="0" fillId="2" borderId="0" xfId="0" applyFill="1"/>
    <xf numFmtId="9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7" fontId="3" fillId="5" borderId="2" xfId="2" applyNumberFormat="1" applyFont="1" applyFill="1" applyBorder="1" applyAlignment="1">
      <alignment horizontal="center"/>
    </xf>
    <xf numFmtId="164" fontId="3" fillId="5" borderId="3" xfId="2" applyNumberFormat="1" applyFont="1" applyFill="1" applyBorder="1" applyAlignment="1">
      <alignment horizontal="center"/>
    </xf>
    <xf numFmtId="164" fontId="3" fillId="5" borderId="4" xfId="2" applyNumberFormat="1" applyFont="1" applyFill="1" applyBorder="1" applyAlignment="1">
      <alignment horizontal="center"/>
    </xf>
    <xf numFmtId="164" fontId="3" fillId="5" borderId="5" xfId="2" applyNumberFormat="1" applyFont="1" applyFill="1" applyBorder="1" applyAlignment="1">
      <alignment horizontal="center"/>
    </xf>
    <xf numFmtId="165" fontId="3" fillId="5" borderId="2" xfId="2" applyNumberFormat="1" applyFont="1" applyFill="1" applyBorder="1" applyAlignment="1">
      <alignment horizontal="center"/>
    </xf>
    <xf numFmtId="164" fontId="3" fillId="3" borderId="2" xfId="2" applyNumberFormat="1" applyFont="1" applyFill="1" applyBorder="1" applyAlignment="1">
      <alignment horizontal="center"/>
    </xf>
    <xf numFmtId="164" fontId="3" fillId="5" borderId="2" xfId="2" applyNumberFormat="1" applyFont="1" applyFill="1" applyBorder="1" applyAlignment="1">
      <alignment horizontal="center"/>
    </xf>
    <xf numFmtId="166" fontId="3" fillId="5" borderId="2" xfId="2" applyNumberFormat="1" applyFont="1" applyFill="1" applyBorder="1" applyAlignment="1">
      <alignment horizontal="center"/>
    </xf>
    <xf numFmtId="0" fontId="3" fillId="3" borderId="6" xfId="2" applyFont="1" applyFill="1" applyBorder="1" applyAlignment="1">
      <alignment horizontal="center"/>
    </xf>
    <xf numFmtId="10" fontId="3" fillId="5" borderId="6" xfId="2" applyNumberFormat="1" applyFont="1" applyFill="1" applyBorder="1" applyAlignment="1">
      <alignment horizontal="center"/>
    </xf>
    <xf numFmtId="3" fontId="3" fillId="3" borderId="2" xfId="2" applyNumberFormat="1" applyFont="1" applyFill="1" applyBorder="1" applyAlignment="1">
      <alignment horizontal="center"/>
    </xf>
    <xf numFmtId="3" fontId="3" fillId="3" borderId="7" xfId="2" applyNumberFormat="1" applyFont="1" applyFill="1" applyBorder="1" applyAlignment="1">
      <alignment horizontal="center"/>
    </xf>
    <xf numFmtId="0" fontId="3" fillId="3" borderId="8" xfId="2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center" vertical="center"/>
    </xf>
    <xf numFmtId="164" fontId="3" fillId="5" borderId="10" xfId="2" applyNumberFormat="1" applyFont="1" applyFill="1" applyBorder="1" applyAlignment="1">
      <alignment horizontal="center"/>
    </xf>
    <xf numFmtId="164" fontId="3" fillId="5" borderId="11" xfId="2" applyNumberFormat="1" applyFont="1" applyFill="1" applyBorder="1" applyAlignment="1">
      <alignment horizontal="center"/>
    </xf>
    <xf numFmtId="164" fontId="3" fillId="5" borderId="12" xfId="2" applyNumberFormat="1" applyFont="1" applyFill="1" applyBorder="1" applyAlignment="1">
      <alignment horizontal="center"/>
    </xf>
    <xf numFmtId="0" fontId="3" fillId="3" borderId="13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/>
    </xf>
    <xf numFmtId="0" fontId="5" fillId="4" borderId="15" xfId="2" applyFont="1" applyFill="1" applyBorder="1" applyAlignment="1">
      <alignment horizontal="center" vertical="center"/>
    </xf>
    <xf numFmtId="0" fontId="5" fillId="4" borderId="16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67" fontId="0" fillId="7" borderId="0" xfId="0" applyNumberFormat="1" applyFill="1" applyAlignment="1">
      <alignment horizontal="center"/>
    </xf>
    <xf numFmtId="167" fontId="9" fillId="2" borderId="0" xfId="1" applyNumberFormat="1" applyFont="1" applyFill="1" applyAlignment="1">
      <alignment horizontal="center" vertical="center"/>
    </xf>
    <xf numFmtId="10" fontId="0" fillId="7" borderId="0" xfId="0" applyNumberFormat="1" applyFill="1" applyAlignment="1">
      <alignment horizontal="center"/>
    </xf>
    <xf numFmtId="10" fontId="9" fillId="2" borderId="0" xfId="1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/>
    </xf>
    <xf numFmtId="0" fontId="0" fillId="0" borderId="0" xfId="0"/>
    <xf numFmtId="0" fontId="10" fillId="5" borderId="0" xfId="0" applyFont="1" applyFill="1" applyAlignment="1">
      <alignment horizontal="center" vertical="center"/>
    </xf>
    <xf numFmtId="10" fontId="2" fillId="2" borderId="0" xfId="1" applyNumberFormat="1" applyFont="1" applyFill="1" applyAlignment="1">
      <alignment horizontal="center" vertical="center"/>
    </xf>
    <xf numFmtId="10" fontId="9" fillId="2" borderId="0" xfId="0" applyNumberFormat="1" applyFont="1" applyFill="1" applyAlignment="1">
      <alignment horizontal="center"/>
    </xf>
    <xf numFmtId="10" fontId="9" fillId="2" borderId="0" xfId="0" applyNumberFormat="1" applyFont="1" applyFill="1" applyAlignment="1">
      <alignment horizontal="center" vertical="center"/>
    </xf>
    <xf numFmtId="10" fontId="2" fillId="7" borderId="0" xfId="0" applyNumberFormat="1" applyFont="1" applyFill="1" applyAlignment="1">
      <alignment horizontal="center"/>
    </xf>
    <xf numFmtId="10" fontId="0" fillId="7" borderId="0" xfId="0" applyNumberFormat="1" applyFill="1" applyBorder="1" applyAlignment="1">
      <alignment horizontal="center"/>
    </xf>
    <xf numFmtId="9" fontId="11" fillId="5" borderId="0" xfId="0" applyNumberFormat="1" applyFont="1" applyFill="1" applyBorder="1" applyAlignment="1">
      <alignment horizontal="center" vertical="center"/>
    </xf>
    <xf numFmtId="0" fontId="12" fillId="0" borderId="0" xfId="0" applyFont="1"/>
    <xf numFmtId="9" fontId="11" fillId="5" borderId="24" xfId="0" applyNumberFormat="1" applyFont="1" applyFill="1" applyBorder="1" applyAlignment="1">
      <alignment horizontal="center" vertical="center"/>
    </xf>
    <xf numFmtId="0" fontId="13" fillId="0" borderId="25" xfId="0" applyFont="1" applyBorder="1"/>
    <xf numFmtId="0" fontId="14" fillId="5" borderId="2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64" fontId="11" fillId="5" borderId="24" xfId="0" applyNumberFormat="1" applyFont="1" applyFill="1" applyBorder="1" applyAlignment="1">
      <alignment horizontal="center" vertical="center"/>
    </xf>
    <xf numFmtId="164" fontId="16" fillId="5" borderId="0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64" fontId="18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/>
    <xf numFmtId="0" fontId="14" fillId="5" borderId="0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/>
    <xf numFmtId="0" fontId="0" fillId="2" borderId="0" xfId="0" applyFill="1" applyAlignment="1"/>
    <xf numFmtId="0" fontId="0" fillId="2" borderId="0" xfId="0" applyFill="1" applyBorder="1" applyAlignment="1"/>
    <xf numFmtId="168" fontId="19" fillId="3" borderId="0" xfId="0" applyNumberFormat="1" applyFont="1" applyFill="1" applyBorder="1" applyAlignment="1">
      <alignment horizontal="center" vertical="center"/>
    </xf>
    <xf numFmtId="164" fontId="20" fillId="5" borderId="27" xfId="0" applyNumberFormat="1" applyFont="1" applyFill="1" applyBorder="1" applyAlignment="1">
      <alignment horizontal="center" vertical="center"/>
    </xf>
    <xf numFmtId="164" fontId="20" fillId="5" borderId="28" xfId="0" applyNumberFormat="1" applyFont="1" applyFill="1" applyBorder="1" applyAlignment="1">
      <alignment horizontal="center" vertical="center"/>
    </xf>
    <xf numFmtId="3" fontId="20" fillId="5" borderId="27" xfId="0" applyNumberFormat="1" applyFont="1" applyFill="1" applyBorder="1" applyAlignment="1">
      <alignment horizontal="center" vertical="center"/>
    </xf>
    <xf numFmtId="3" fontId="20" fillId="5" borderId="28" xfId="0" applyNumberFormat="1" applyFont="1" applyFill="1" applyBorder="1" applyAlignment="1">
      <alignment horizontal="center" vertical="center"/>
    </xf>
    <xf numFmtId="166" fontId="20" fillId="5" borderId="27" xfId="0" applyNumberFormat="1" applyFont="1" applyFill="1" applyBorder="1" applyAlignment="1">
      <alignment horizontal="center" vertical="center"/>
    </xf>
    <xf numFmtId="166" fontId="20" fillId="5" borderId="26" xfId="0" applyNumberFormat="1" applyFont="1" applyFill="1" applyBorder="1" applyAlignment="1">
      <alignment horizontal="center" vertical="center"/>
    </xf>
    <xf numFmtId="166" fontId="20" fillId="5" borderId="28" xfId="0" applyNumberFormat="1" applyFont="1" applyFill="1" applyBorder="1" applyAlignment="1">
      <alignment horizontal="center" vertical="center"/>
    </xf>
    <xf numFmtId="3" fontId="20" fillId="5" borderId="26" xfId="0" applyNumberFormat="1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164" fontId="20" fillId="5" borderId="29" xfId="0" applyNumberFormat="1" applyFont="1" applyFill="1" applyBorder="1" applyAlignment="1">
      <alignment horizontal="center" vertical="center"/>
    </xf>
    <xf numFmtId="164" fontId="20" fillId="5" borderId="30" xfId="0" applyNumberFormat="1" applyFont="1" applyFill="1" applyBorder="1" applyAlignment="1">
      <alignment horizontal="center" vertical="center"/>
    </xf>
    <xf numFmtId="3" fontId="20" fillId="5" borderId="29" xfId="0" applyNumberFormat="1" applyFont="1" applyFill="1" applyBorder="1" applyAlignment="1">
      <alignment horizontal="center" vertical="center"/>
    </xf>
    <xf numFmtId="3" fontId="20" fillId="5" borderId="30" xfId="0" applyNumberFormat="1" applyFont="1" applyFill="1" applyBorder="1" applyAlignment="1">
      <alignment horizontal="center" vertical="center"/>
    </xf>
    <xf numFmtId="166" fontId="20" fillId="5" borderId="29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166" fontId="20" fillId="5" borderId="30" xfId="0" applyNumberFormat="1" applyFont="1" applyFill="1" applyBorder="1" applyAlignment="1">
      <alignment horizontal="center" vertical="center"/>
    </xf>
    <xf numFmtId="3" fontId="20" fillId="5" borderId="0" xfId="0" applyNumberFormat="1" applyFont="1" applyFill="1" applyBorder="1" applyAlignment="1">
      <alignment horizontal="center" vertical="center"/>
    </xf>
    <xf numFmtId="164" fontId="20" fillId="5" borderId="31" xfId="0" applyNumberFormat="1" applyFont="1" applyFill="1" applyBorder="1" applyAlignment="1">
      <alignment horizontal="center" vertical="center"/>
    </xf>
    <xf numFmtId="164" fontId="20" fillId="5" borderId="32" xfId="0" applyNumberFormat="1" applyFont="1" applyFill="1" applyBorder="1" applyAlignment="1">
      <alignment horizontal="center" vertical="center"/>
    </xf>
    <xf numFmtId="3" fontId="20" fillId="5" borderId="31" xfId="0" applyNumberFormat="1" applyFont="1" applyFill="1" applyBorder="1" applyAlignment="1">
      <alignment horizontal="center" vertical="center"/>
    </xf>
    <xf numFmtId="3" fontId="20" fillId="5" borderId="32" xfId="0" applyNumberFormat="1" applyFont="1" applyFill="1" applyBorder="1" applyAlignment="1">
      <alignment horizontal="center" vertical="center"/>
    </xf>
    <xf numFmtId="166" fontId="20" fillId="5" borderId="31" xfId="0" applyNumberFormat="1" applyFont="1" applyFill="1" applyBorder="1" applyAlignment="1">
      <alignment horizontal="center" vertical="center"/>
    </xf>
    <xf numFmtId="166" fontId="20" fillId="5" borderId="33" xfId="0" applyNumberFormat="1" applyFont="1" applyFill="1" applyBorder="1" applyAlignment="1">
      <alignment horizontal="center" vertical="center"/>
    </xf>
    <xf numFmtId="166" fontId="20" fillId="5" borderId="32" xfId="0" applyNumberFormat="1" applyFont="1" applyFill="1" applyBorder="1" applyAlignment="1">
      <alignment horizontal="center" vertical="center"/>
    </xf>
    <xf numFmtId="3" fontId="20" fillId="5" borderId="33" xfId="0" applyNumberFormat="1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</cellXfs>
  <cellStyles count="3">
    <cellStyle name="Normal" xfId="0" builtinId="0"/>
    <cellStyle name="Normal 3" xfId="2" xr:uid="{30EA3239-1202-4ECB-85BA-FC6A0A14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55A1AB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2884990253411304E-2"/>
                  <c:y val="-4.0404022040871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6D-45D5-99D4-505E390CA84D}"/>
                </c:ext>
              </c:extLst>
            </c:dLbl>
            <c:dLbl>
              <c:idx val="1"/>
              <c:layout>
                <c:manualLayout>
                  <c:x val="4.6783779220579885E-2"/>
                  <c:y val="-2.3087785350565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34113060428846"/>
                      <c:h val="8.07216912787304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A6D-45D5-99D4-505E390CA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-2'!$F$43:$G$43</c:f>
              <c:strCache>
                <c:ptCount val="2"/>
                <c:pt idx="0">
                  <c:v>BUDGET</c:v>
                </c:pt>
                <c:pt idx="1">
                  <c:v>SPEND</c:v>
                </c:pt>
              </c:strCache>
            </c:strRef>
          </c:cat>
          <c:val>
            <c:numRef>
              <c:f>'DASHBOARD -2'!$F$44:$G$44</c:f>
              <c:numCache>
                <c:formatCode>"$"#,##0</c:formatCode>
                <c:ptCount val="2"/>
                <c:pt idx="0">
                  <c:v>200000</c:v>
                </c:pt>
                <c:pt idx="1">
                  <c:v>187926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D-45D5-99D4-505E390CA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9570351"/>
        <c:axId val="657257359"/>
        <c:axId val="0"/>
      </c:bar3DChart>
      <c:catAx>
        <c:axId val="64957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57359"/>
        <c:crosses val="autoZero"/>
        <c:auto val="1"/>
        <c:lblAlgn val="ctr"/>
        <c:lblOffset val="100"/>
        <c:noMultiLvlLbl val="0"/>
      </c:catAx>
      <c:valAx>
        <c:axId val="6572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7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34F5C">
        <a:alpha val="94902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pre</a:t>
            </a:r>
            <a:r>
              <a:rPr lang="en-IN" sz="1000" baseline="0"/>
              <a:t> &amp; post campaing revenue</a:t>
            </a:r>
            <a:endParaRPr lang="en-IN" sz="1000"/>
          </a:p>
        </c:rich>
      </c:tx>
      <c:layout>
        <c:manualLayout>
          <c:xMode val="edge"/>
          <c:yMode val="edge"/>
          <c:x val="9.8056801195814652E-3"/>
          <c:y val="3.40012078269327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90D7DD"/>
            </a:solidFill>
            <a:ln w="19050">
              <a:noFill/>
            </a:ln>
            <a:effectLst/>
          </c:spPr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4E-44A2-BA46-EF25B151F80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CC4E-44A2-BA46-EF25B151F80E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99B6B3F0-966F-4E52-8CC3-D5615FC622F5}" type="VALU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2629FAF9-F48B-48EB-B763-4679A9E75228}" type="PERCENTAG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4E-44A2-BA46-EF25B151F80E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FB04932C-02F7-40F6-975A-4FB95F5AA758}" type="VALU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EDF60BB5-5AE3-465B-A49F-2348B490FEF2}" type="PERCENTAG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C4E-44A2-BA46-EF25B151F8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-2'!$K$43:$L$43</c:f>
              <c:strCache>
                <c:ptCount val="2"/>
                <c:pt idx="0">
                  <c:v>PRE-CAMPAIGN</c:v>
                </c:pt>
                <c:pt idx="1">
                  <c:v>POST- CAMPAIGN</c:v>
                </c:pt>
              </c:strCache>
            </c:strRef>
          </c:cat>
          <c:val>
            <c:numRef>
              <c:f>'DASHBOARD -2'!$K$44:$L$44</c:f>
              <c:numCache>
                <c:formatCode>"$"#,##0</c:formatCode>
                <c:ptCount val="2"/>
                <c:pt idx="0">
                  <c:v>354000</c:v>
                </c:pt>
                <c:pt idx="1">
                  <c:v>366817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4E-44A2-BA46-EF25B151F80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34F5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-2'!$F$35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6A5AF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6783625730993936E-3"/>
                  <c:y val="-6.2622296331664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5A-4CC5-93E4-48C2C3DE8111}"/>
                </c:ext>
              </c:extLst>
            </c:dLbl>
            <c:dLbl>
              <c:idx val="1"/>
              <c:layout>
                <c:manualLayout>
                  <c:x val="0"/>
                  <c:y val="-3.1311148165832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5A-4CC5-93E4-48C2C3DE8111}"/>
                </c:ext>
              </c:extLst>
            </c:dLbl>
            <c:dLbl>
              <c:idx val="2"/>
              <c:layout>
                <c:manualLayout>
                  <c:x val="0"/>
                  <c:y val="-1.0437049388610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5A-4CC5-93E4-48C2C3DE8111}"/>
                </c:ext>
              </c:extLst>
            </c:dLbl>
            <c:dLbl>
              <c:idx val="3"/>
              <c:layout>
                <c:manualLayout>
                  <c:x val="-2.807017543859649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5A-4CC5-93E4-48C2C3DE8111}"/>
                </c:ext>
              </c:extLst>
            </c:dLbl>
            <c:dLbl>
              <c:idx val="4"/>
              <c:layout>
                <c:manualLayout>
                  <c:x val="-2.105263157894736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5A-4CC5-93E4-48C2C3DE81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0E0E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-2'!$A$36:$A$40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'DASHBOARD -2'!$F$36:$F$40</c:f>
              <c:numCache>
                <c:formatCode>"$"#,##0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50000</c:v>
                </c:pt>
                <c:pt idx="3">
                  <c:v>45000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A-4CC5-93E4-48C2C3DE8111}"/>
            </c:ext>
          </c:extLst>
        </c:ser>
        <c:ser>
          <c:idx val="1"/>
          <c:order val="1"/>
          <c:tx>
            <c:strRef>
              <c:f>'DASHBOARD -2'!$G$35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D0E0E3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573099415204678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5A-4CC5-93E4-48C2C3DE8111}"/>
                </c:ext>
              </c:extLst>
            </c:dLbl>
            <c:dLbl>
              <c:idx val="1"/>
              <c:layout>
                <c:manualLayout>
                  <c:x val="3.27485380116958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5A-4CC5-93E4-48C2C3DE8111}"/>
                </c:ext>
              </c:extLst>
            </c:dLbl>
            <c:dLbl>
              <c:idx val="4"/>
              <c:layout>
                <c:manualLayout>
                  <c:x val="1.8713450292397661E-2"/>
                  <c:y val="-1.5655574082916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F5A-4CC5-93E4-48C2C3DE81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0E0E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-2'!$A$36:$A$40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'DASHBOARD -2'!$G$36:$G$40</c:f>
              <c:numCache>
                <c:formatCode>"$"#,##0</c:formatCode>
                <c:ptCount val="5"/>
                <c:pt idx="0">
                  <c:v>23661</c:v>
                </c:pt>
                <c:pt idx="1">
                  <c:v>21882</c:v>
                </c:pt>
                <c:pt idx="2">
                  <c:v>22076</c:v>
                </c:pt>
                <c:pt idx="3">
                  <c:v>57823</c:v>
                </c:pt>
                <c:pt idx="4">
                  <c:v>62484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5A-4CC5-93E4-48C2C3DE8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3679888"/>
        <c:axId val="1300884368"/>
        <c:axId val="0"/>
      </c:bar3DChart>
      <c:catAx>
        <c:axId val="134367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84368"/>
        <c:crosses val="autoZero"/>
        <c:auto val="1"/>
        <c:lblAlgn val="ctr"/>
        <c:lblOffset val="100"/>
        <c:noMultiLvlLbl val="0"/>
      </c:catAx>
      <c:valAx>
        <c:axId val="13008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7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78823041856609"/>
          <c:y val="3.5224630779105211E-2"/>
          <c:w val="0.2104235391628678"/>
          <c:h val="9.8500269966198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34F5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200025</xdr:rowOff>
    </xdr:from>
    <xdr:to>
      <xdr:col>3</xdr:col>
      <xdr:colOff>9525</xdr:colOff>
      <xdr:row>28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92234-C0A2-4346-919D-28C8056D3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7</xdr:row>
      <xdr:rowOff>66674</xdr:rowOff>
    </xdr:from>
    <xdr:to>
      <xdr:col>16</xdr:col>
      <xdr:colOff>38100</xdr:colOff>
      <xdr:row>13</xdr:row>
      <xdr:rowOff>533400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3BA73-C51A-4DF3-9A59-66977505F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685798</xdr:colOff>
      <xdr:row>7</xdr:row>
      <xdr:rowOff>61911</xdr:rowOff>
    </xdr:from>
    <xdr:to>
      <xdr:col>10</xdr:col>
      <xdr:colOff>57149</xdr:colOff>
      <xdr:row>13</xdr:row>
      <xdr:rowOff>552450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9DD164-0E7C-4E75-8563-1271B70F1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 LOAN"/>
      <sheetName val="CAR LOAN"/>
      <sheetName val="PERSONAL LOAN"/>
      <sheetName val="EDUCATION LOAN"/>
      <sheetName val="DATA.... "/>
      <sheetName val="PIVOT TABLES"/>
      <sheetName val="DASHBOARD"/>
      <sheetName val="DATA.. "/>
      <sheetName val="CALCULATION  .."/>
      <sheetName val="DASHBOARD.."/>
      <sheetName val="Budget Dashboard"/>
      <sheetName val="Sheet2"/>
      <sheetName val="Data 1"/>
      <sheetName val="Data Calculation"/>
      <sheetName val="Dynamic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7B4E-BAC1-40E2-AB86-46500F82EC33}">
  <dimension ref="A1:U67"/>
  <sheetViews>
    <sheetView showGridLines="0" tabSelected="1" zoomScale="50" zoomScaleNormal="50" workbookViewId="0">
      <selection activeCell="U23" sqref="U23"/>
    </sheetView>
  </sheetViews>
  <sheetFormatPr defaultRowHeight="15"/>
  <cols>
    <col min="1" max="1" width="18.7109375" style="1" customWidth="1"/>
    <col min="2" max="2" width="16.85546875" style="1" customWidth="1"/>
    <col min="3" max="3" width="14.42578125" style="1" customWidth="1"/>
    <col min="4" max="4" width="10.7109375" style="1" customWidth="1"/>
    <col min="5" max="5" width="16.28515625" style="1" customWidth="1"/>
    <col min="6" max="6" width="15.28515625" style="1" customWidth="1"/>
    <col min="7" max="7" width="12.5703125" style="1" customWidth="1"/>
    <col min="8" max="8" width="14.7109375" style="1" bestFit="1" customWidth="1"/>
    <col min="9" max="9" width="17" style="1" customWidth="1"/>
    <col min="10" max="10" width="10" style="1" customWidth="1"/>
    <col min="11" max="11" width="20.85546875" style="1" customWidth="1"/>
    <col min="12" max="12" width="17.7109375" style="1" customWidth="1"/>
    <col min="13" max="13" width="16" style="1" customWidth="1"/>
    <col min="14" max="14" width="8.85546875" style="1" customWidth="1"/>
    <col min="15" max="15" width="21.5703125" style="1" customWidth="1"/>
    <col min="16" max="16" width="12.7109375" style="1" customWidth="1"/>
    <col min="17" max="17" width="14.28515625" style="1" customWidth="1"/>
    <col min="18" max="19" width="9.140625" style="1"/>
    <col min="20" max="20" width="17.28515625" style="1" customWidth="1"/>
    <col min="21" max="16384" width="9.140625" style="1"/>
  </cols>
  <sheetData>
    <row r="1" spans="1:21" ht="21" customHeight="1"/>
    <row r="2" spans="1:21" ht="26.25" customHeight="1"/>
    <row r="3" spans="1:21" ht="34.5" customHeight="1" thickBot="1">
      <c r="A3" s="100" t="s">
        <v>35</v>
      </c>
      <c r="B3" s="100"/>
      <c r="C3" s="100"/>
      <c r="D3" s="70"/>
      <c r="E3" s="99" t="s">
        <v>13</v>
      </c>
      <c r="F3" s="99"/>
      <c r="G3" s="99"/>
      <c r="H3" s="99" t="s">
        <v>12</v>
      </c>
      <c r="I3" s="99"/>
      <c r="J3" s="99" t="s">
        <v>34</v>
      </c>
      <c r="K3" s="99"/>
      <c r="L3" s="99"/>
      <c r="M3" s="99" t="s">
        <v>10</v>
      </c>
      <c r="N3" s="99"/>
      <c r="O3" s="99" t="s">
        <v>5</v>
      </c>
      <c r="P3" s="99"/>
      <c r="R3" s="98" t="s">
        <v>33</v>
      </c>
      <c r="S3" s="98"/>
      <c r="T3" s="98"/>
    </row>
    <row r="4" spans="1:21" ht="23.25" customHeight="1" thickTop="1">
      <c r="E4" s="93">
        <f>B44</f>
        <v>724077</v>
      </c>
      <c r="F4" s="97"/>
      <c r="G4" s="92"/>
      <c r="H4" s="93">
        <f>C44</f>
        <v>195151</v>
      </c>
      <c r="I4" s="92"/>
      <c r="J4" s="96">
        <f>I44</f>
        <v>4.7413607800381161</v>
      </c>
      <c r="K4" s="95"/>
      <c r="L4" s="94"/>
      <c r="M4" s="93">
        <f>E44</f>
        <v>284</v>
      </c>
      <c r="N4" s="92"/>
      <c r="O4" s="91">
        <f>J44</f>
        <v>3347.4322681612352</v>
      </c>
      <c r="P4" s="90"/>
      <c r="R4" s="72">
        <f ca="1">TODAY()</f>
        <v>46092</v>
      </c>
      <c r="S4" s="72"/>
      <c r="T4" s="72"/>
    </row>
    <row r="5" spans="1:21" ht="17.25" customHeight="1">
      <c r="A5" s="81" t="s">
        <v>32</v>
      </c>
      <c r="B5" s="81"/>
      <c r="C5" s="81"/>
      <c r="E5" s="85"/>
      <c r="F5" s="89"/>
      <c r="G5" s="84"/>
      <c r="H5" s="85"/>
      <c r="I5" s="84"/>
      <c r="J5" s="88"/>
      <c r="K5" s="87"/>
      <c r="L5" s="86"/>
      <c r="M5" s="85"/>
      <c r="N5" s="84"/>
      <c r="O5" s="83"/>
      <c r="P5" s="82"/>
      <c r="R5" s="72"/>
      <c r="S5" s="72"/>
      <c r="T5" s="72"/>
    </row>
    <row r="6" spans="1:21" ht="15.75" customHeight="1" thickBot="1">
      <c r="A6" s="81"/>
      <c r="B6" s="81"/>
      <c r="C6" s="81"/>
      <c r="E6" s="76"/>
      <c r="F6" s="80"/>
      <c r="G6" s="75"/>
      <c r="H6" s="76"/>
      <c r="I6" s="75"/>
      <c r="J6" s="79"/>
      <c r="K6" s="78"/>
      <c r="L6" s="77"/>
      <c r="M6" s="76"/>
      <c r="N6" s="75"/>
      <c r="O6" s="74"/>
      <c r="P6" s="73"/>
      <c r="R6" s="72"/>
      <c r="S6" s="72"/>
      <c r="T6" s="72"/>
    </row>
    <row r="7" spans="1:21" ht="15.75" thickTop="1">
      <c r="A7" s="64">
        <f>F44</f>
        <v>200000</v>
      </c>
      <c r="B7" s="64"/>
      <c r="C7" s="64"/>
      <c r="R7" s="71"/>
      <c r="S7" s="71"/>
      <c r="T7" s="70"/>
    </row>
    <row r="8" spans="1:21">
      <c r="A8" s="64"/>
      <c r="B8" s="64"/>
      <c r="C8" s="64"/>
      <c r="R8" s="70"/>
      <c r="S8" s="70"/>
      <c r="T8" s="70"/>
    </row>
    <row r="9" spans="1:21">
      <c r="A9" s="64"/>
      <c r="B9" s="64"/>
      <c r="C9" s="64"/>
      <c r="R9" s="69"/>
      <c r="S9" s="69"/>
      <c r="T9" s="69"/>
      <c r="U9" s="68"/>
    </row>
    <row r="10" spans="1:21" ht="21" customHeight="1">
      <c r="A10" s="63" t="s">
        <v>31</v>
      </c>
      <c r="B10" s="63"/>
      <c r="C10" s="63"/>
      <c r="R10" s="67" t="s">
        <v>2</v>
      </c>
      <c r="S10" s="67"/>
      <c r="T10" s="67"/>
      <c r="U10" s="67"/>
    </row>
    <row r="11" spans="1:21" ht="20.25" customHeight="1" thickBot="1">
      <c r="A11" s="66"/>
      <c r="B11" s="65"/>
      <c r="C11" s="65"/>
      <c r="R11" s="59"/>
      <c r="S11" s="59"/>
      <c r="T11" s="59"/>
      <c r="U11" s="59"/>
    </row>
    <row r="12" spans="1:21" ht="39" thickTop="1">
      <c r="A12" s="64">
        <f>G44</f>
        <v>187926</v>
      </c>
      <c r="B12" s="64"/>
      <c r="C12" s="64"/>
      <c r="R12" s="61">
        <f>M44</f>
        <v>12817</v>
      </c>
      <c r="S12" s="61"/>
      <c r="T12" s="61"/>
      <c r="U12" s="61"/>
    </row>
    <row r="13" spans="1:21" ht="18.75" thickBot="1">
      <c r="A13" s="63" t="s">
        <v>30</v>
      </c>
      <c r="B13" s="63"/>
      <c r="C13" s="63"/>
      <c r="R13" s="59" t="s">
        <v>29</v>
      </c>
      <c r="S13" s="59"/>
      <c r="T13" s="59"/>
      <c r="U13" s="59"/>
    </row>
    <row r="14" spans="1:21" ht="40.5" thickTop="1">
      <c r="A14" s="62">
        <f>H44</f>
        <v>-12074</v>
      </c>
      <c r="B14" s="62"/>
      <c r="C14" s="62"/>
      <c r="R14" s="61">
        <f>N44</f>
        <v>178891</v>
      </c>
      <c r="S14" s="61"/>
      <c r="T14" s="61"/>
      <c r="U14" s="61"/>
    </row>
    <row r="15" spans="1:21" ht="28.5" customHeight="1" thickBot="1">
      <c r="E15" s="60" t="s">
        <v>28</v>
      </c>
      <c r="F15" s="48"/>
      <c r="G15" s="48"/>
      <c r="H15" s="48"/>
      <c r="I15" s="60" t="s">
        <v>27</v>
      </c>
      <c r="J15" s="48"/>
      <c r="K15" s="48"/>
      <c r="L15" s="48"/>
      <c r="M15" s="60" t="s">
        <v>26</v>
      </c>
      <c r="N15" s="48"/>
      <c r="O15" s="48"/>
      <c r="P15" s="48"/>
      <c r="R15" s="59" t="s">
        <v>25</v>
      </c>
      <c r="S15" s="59"/>
      <c r="T15" s="59"/>
      <c r="U15" s="59"/>
    </row>
    <row r="16" spans="1:21" ht="28.5" customHeight="1" thickTop="1"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R16" s="57">
        <f>P44</f>
        <v>0.95192256526505115</v>
      </c>
      <c r="S16" s="57"/>
      <c r="T16" s="57"/>
      <c r="U16" s="57"/>
    </row>
    <row r="17" spans="5:21" ht="20.25" customHeight="1">
      <c r="F17" s="49" t="s">
        <v>19</v>
      </c>
      <c r="G17" s="56"/>
      <c r="J17" s="49" t="s">
        <v>19</v>
      </c>
      <c r="K17" s="48"/>
      <c r="N17" s="49" t="s">
        <v>19</v>
      </c>
      <c r="O17" s="48"/>
      <c r="R17" s="55"/>
      <c r="S17" s="55"/>
      <c r="T17" s="55"/>
      <c r="U17" s="55"/>
    </row>
    <row r="18" spans="5:21" ht="20.25" customHeight="1">
      <c r="E18" s="52">
        <f>D36</f>
        <v>0.33506331067306677</v>
      </c>
      <c r="F18" s="54">
        <f>E18</f>
        <v>0.33506331067306677</v>
      </c>
      <c r="G18" s="54"/>
      <c r="I18" s="46">
        <f>I36/I44</f>
        <v>0.12096619729712181</v>
      </c>
      <c r="J18" s="45">
        <f>I18</f>
        <v>0.12096619729712181</v>
      </c>
      <c r="K18" s="45"/>
      <c r="M18" s="44">
        <f>J36/J44</f>
        <v>0.11219687165701256</v>
      </c>
      <c r="N18" s="43">
        <f>M18</f>
        <v>0.11219687165701256</v>
      </c>
      <c r="O18" s="42"/>
    </row>
    <row r="19" spans="5:21" ht="16.5" customHeight="1"/>
    <row r="20" spans="5:21" ht="19.5" customHeight="1">
      <c r="F20" s="49" t="s">
        <v>18</v>
      </c>
      <c r="G20" s="48"/>
      <c r="J20" s="49" t="s">
        <v>18</v>
      </c>
      <c r="K20" s="48"/>
      <c r="N20" s="49" t="s">
        <v>18</v>
      </c>
      <c r="O20" s="48"/>
    </row>
    <row r="21" spans="5:21" ht="19.5" customHeight="1">
      <c r="E21" s="52">
        <f>D37</f>
        <v>0.881313239123938</v>
      </c>
      <c r="F21" s="53">
        <f>E21</f>
        <v>0.881313239123938</v>
      </c>
      <c r="G21" s="53"/>
      <c r="I21" s="46">
        <f>I37/I44</f>
        <v>0.22356880124853898</v>
      </c>
      <c r="J21" s="45">
        <f>I21</f>
        <v>0.22356880124853898</v>
      </c>
      <c r="K21" s="42"/>
      <c r="M21" s="44">
        <f>J37/J44</f>
        <v>0.23346252810942839</v>
      </c>
      <c r="N21" s="43">
        <f>M21</f>
        <v>0.23346252810942839</v>
      </c>
      <c r="O21" s="42"/>
    </row>
    <row r="22" spans="5:21" ht="19.5" customHeight="1"/>
    <row r="23" spans="5:21" ht="19.5" customHeight="1">
      <c r="F23" s="49" t="s">
        <v>17</v>
      </c>
      <c r="G23" s="48"/>
      <c r="J23" s="49" t="s">
        <v>17</v>
      </c>
      <c r="K23" s="48"/>
      <c r="N23" s="49" t="s">
        <v>17</v>
      </c>
      <c r="O23" s="48"/>
    </row>
    <row r="24" spans="5:21" ht="19.5" customHeight="1">
      <c r="E24" s="52">
        <f>D38</f>
        <v>0.22068772068772069</v>
      </c>
      <c r="F24" s="45">
        <f>E24</f>
        <v>0.22068772068772069</v>
      </c>
      <c r="G24" s="42"/>
      <c r="I24" s="46">
        <f>I38/I44</f>
        <v>0.17405784253160098</v>
      </c>
      <c r="J24" s="45">
        <f>I24</f>
        <v>0.17405784253160098</v>
      </c>
      <c r="K24" s="42"/>
      <c r="M24" s="44">
        <f>J38/J44</f>
        <v>0.16085135747526619</v>
      </c>
      <c r="N24" s="43">
        <f>M24</f>
        <v>0.16085135747526619</v>
      </c>
      <c r="O24" s="42"/>
    </row>
    <row r="25" spans="5:21" ht="18.75" customHeight="1"/>
    <row r="26" spans="5:21">
      <c r="F26" s="49" t="s">
        <v>16</v>
      </c>
      <c r="G26" s="48"/>
      <c r="J26" s="49" t="s">
        <v>16</v>
      </c>
      <c r="K26" s="48"/>
      <c r="N26" s="49" t="s">
        <v>16</v>
      </c>
      <c r="O26" s="48"/>
    </row>
    <row r="27" spans="5:21">
      <c r="E27" s="51">
        <f>D39</f>
        <v>0.46752935058701173</v>
      </c>
      <c r="F27" s="45">
        <f>E27</f>
        <v>0.46752935058701173</v>
      </c>
      <c r="G27" s="42"/>
      <c r="I27" s="50">
        <f>I39/I44</f>
        <v>0.26085395332808015</v>
      </c>
      <c r="J27" s="45">
        <f>I27</f>
        <v>0.26085395332808015</v>
      </c>
      <c r="K27" s="45"/>
      <c r="M27" s="44">
        <f>J39/J44</f>
        <v>0.29277690150127367</v>
      </c>
      <c r="N27" s="43">
        <f>M27</f>
        <v>0.29277690150127367</v>
      </c>
      <c r="O27" s="42"/>
    </row>
    <row r="29" spans="5:21">
      <c r="F29" s="49" t="s">
        <v>15</v>
      </c>
      <c r="G29" s="48"/>
      <c r="J29" s="49" t="s">
        <v>15</v>
      </c>
      <c r="K29" s="48"/>
      <c r="N29" s="49" t="s">
        <v>15</v>
      </c>
      <c r="O29" s="48"/>
    </row>
    <row r="30" spans="5:21" ht="19.5" customHeight="1">
      <c r="E30" s="47">
        <f>D40</f>
        <v>0.1676914916606094</v>
      </c>
      <c r="F30" s="45">
        <f>E30</f>
        <v>0.1676914916606094</v>
      </c>
      <c r="G30" s="45"/>
      <c r="I30" s="46">
        <f>I40/I44</f>
        <v>0.22055320559465813</v>
      </c>
      <c r="J30" s="45">
        <f>I30</f>
        <v>0.22055320559465813</v>
      </c>
      <c r="K30" s="42"/>
      <c r="M30" s="44">
        <f>J40/J44</f>
        <v>0.20071234125701914</v>
      </c>
      <c r="N30" s="43">
        <f>M30</f>
        <v>0.20071234125701914</v>
      </c>
      <c r="O30" s="42"/>
    </row>
    <row r="32" spans="5:21" ht="3.75" customHeight="1"/>
    <row r="33" spans="1:17" ht="13.5" customHeight="1"/>
    <row r="34" spans="1:17" ht="87.75" customHeight="1">
      <c r="K34" s="41" t="s">
        <v>24</v>
      </c>
      <c r="L34" s="40"/>
      <c r="M34" s="39" t="s">
        <v>23</v>
      </c>
      <c r="N34" s="38" t="s">
        <v>22</v>
      </c>
      <c r="O34" s="37"/>
      <c r="P34" s="36"/>
      <c r="Q34" s="35" t="s">
        <v>21</v>
      </c>
    </row>
    <row r="35" spans="1:17" ht="75.75" customHeight="1">
      <c r="A35" s="34" t="s">
        <v>20</v>
      </c>
      <c r="B35" s="30" t="s">
        <v>13</v>
      </c>
      <c r="C35" s="30" t="s">
        <v>12</v>
      </c>
      <c r="D35" s="30" t="s">
        <v>11</v>
      </c>
      <c r="E35" s="30" t="s">
        <v>10</v>
      </c>
      <c r="F35" s="30" t="s">
        <v>9</v>
      </c>
      <c r="G35" s="30" t="s">
        <v>8</v>
      </c>
      <c r="H35" s="30" t="s">
        <v>7</v>
      </c>
      <c r="I35" s="30" t="s">
        <v>6</v>
      </c>
      <c r="J35" s="30" t="s">
        <v>5</v>
      </c>
      <c r="K35" s="30" t="s">
        <v>4</v>
      </c>
      <c r="L35" s="30" t="s">
        <v>3</v>
      </c>
      <c r="M35" s="30" t="s">
        <v>2</v>
      </c>
      <c r="N35" s="33" t="s">
        <v>1</v>
      </c>
      <c r="O35" s="32"/>
      <c r="P35" s="31"/>
      <c r="Q35" s="30" t="s">
        <v>0</v>
      </c>
    </row>
    <row r="36" spans="1:17">
      <c r="A36" s="29" t="s">
        <v>19</v>
      </c>
      <c r="B36" s="22">
        <v>123123</v>
      </c>
      <c r="C36" s="22">
        <v>41254</v>
      </c>
      <c r="D36" s="21">
        <f>IFERROR(C36/B36,"0")</f>
        <v>0.33506331067306677</v>
      </c>
      <c r="E36" s="20">
        <v>63</v>
      </c>
      <c r="F36" s="17">
        <v>25000</v>
      </c>
      <c r="G36" s="17">
        <v>23661</v>
      </c>
      <c r="H36" s="16">
        <f>G36-F36</f>
        <v>-1339</v>
      </c>
      <c r="I36" s="19">
        <f>IFERROR(G36/C36,"0")</f>
        <v>0.5735443835749261</v>
      </c>
      <c r="J36" s="18">
        <f>IFERROR(G36/E36,"0")</f>
        <v>375.57142857142856</v>
      </c>
      <c r="K36" s="17">
        <v>50000</v>
      </c>
      <c r="L36" s="17">
        <v>49789</v>
      </c>
      <c r="M36" s="16">
        <f>L36-K36</f>
        <v>-211</v>
      </c>
      <c r="N36" s="28">
        <f>IFERROR(L36-G36,"0")</f>
        <v>26128</v>
      </c>
      <c r="O36" s="27"/>
      <c r="P36" s="26"/>
      <c r="Q36" s="12">
        <f>IFERROR(N36/G36,"0")</f>
        <v>1.1042644013355309</v>
      </c>
    </row>
    <row r="37" spans="1:17">
      <c r="A37" s="25" t="s">
        <v>18</v>
      </c>
      <c r="B37" s="22">
        <v>23423</v>
      </c>
      <c r="C37" s="22">
        <v>20643</v>
      </c>
      <c r="D37" s="21">
        <f>IFERROR(C37/B37,"0")</f>
        <v>0.881313239123938</v>
      </c>
      <c r="E37" s="20">
        <v>28</v>
      </c>
      <c r="F37" s="17">
        <v>30000</v>
      </c>
      <c r="G37" s="17">
        <v>21882</v>
      </c>
      <c r="H37" s="16">
        <f>G37-F37</f>
        <v>-8118</v>
      </c>
      <c r="I37" s="19">
        <f>IFERROR(G37/C37,"0")</f>
        <v>1.0600203458799593</v>
      </c>
      <c r="J37" s="18">
        <f>IFERROR(G37/E37,"0")</f>
        <v>781.5</v>
      </c>
      <c r="K37" s="17">
        <v>60000</v>
      </c>
      <c r="L37" s="17">
        <v>62009</v>
      </c>
      <c r="M37" s="16">
        <f>L37-K37</f>
        <v>2009</v>
      </c>
      <c r="N37" s="15">
        <f>IFERROR(L37-G37,"0")</f>
        <v>40127</v>
      </c>
      <c r="O37" s="14"/>
      <c r="P37" s="13"/>
      <c r="Q37" s="12">
        <f>IFERROR(N37/G37,"0")</f>
        <v>1.8337903299515583</v>
      </c>
    </row>
    <row r="38" spans="1:17">
      <c r="A38" s="24" t="s">
        <v>17</v>
      </c>
      <c r="B38" s="23">
        <v>121212</v>
      </c>
      <c r="C38" s="22">
        <v>26750</v>
      </c>
      <c r="D38" s="21">
        <f>IFERROR(C38/B38,"0")</f>
        <v>0.22068772068772069</v>
      </c>
      <c r="E38" s="20">
        <v>41</v>
      </c>
      <c r="F38" s="17">
        <v>50000</v>
      </c>
      <c r="G38" s="17">
        <v>22076</v>
      </c>
      <c r="H38" s="16">
        <f>G38-F38</f>
        <v>-27924</v>
      </c>
      <c r="I38" s="19">
        <f>IFERROR(G38/C38,"0")</f>
        <v>0.82527102803738317</v>
      </c>
      <c r="J38" s="18">
        <f>IFERROR(G38/E38,"0")</f>
        <v>538.43902439024396</v>
      </c>
      <c r="K38" s="17">
        <v>88000</v>
      </c>
      <c r="L38" s="17">
        <v>90239</v>
      </c>
      <c r="M38" s="16">
        <f>L38-K38</f>
        <v>2239</v>
      </c>
      <c r="N38" s="15">
        <f>IFERROR(L38-G38,"0")</f>
        <v>68163</v>
      </c>
      <c r="O38" s="14"/>
      <c r="P38" s="13"/>
      <c r="Q38" s="12">
        <f>IFERROR(N38/G38,"0")</f>
        <v>3.0876517485051638</v>
      </c>
    </row>
    <row r="39" spans="1:17">
      <c r="A39" s="24" t="s">
        <v>16</v>
      </c>
      <c r="B39" s="23">
        <v>99998</v>
      </c>
      <c r="C39" s="22">
        <v>46752</v>
      </c>
      <c r="D39" s="21">
        <f>IFERROR(C39/B39,"0")</f>
        <v>0.46752935058701173</v>
      </c>
      <c r="E39" s="20">
        <v>59</v>
      </c>
      <c r="F39" s="17">
        <v>45000</v>
      </c>
      <c r="G39" s="17">
        <v>57823</v>
      </c>
      <c r="H39" s="16">
        <f>G39-F39</f>
        <v>12823</v>
      </c>
      <c r="I39" s="19">
        <f>IFERROR(G39/C39,"0")</f>
        <v>1.2368027036276523</v>
      </c>
      <c r="J39" s="18">
        <f>IFERROR(G39/E39,"0")</f>
        <v>980.05084745762713</v>
      </c>
      <c r="K39" s="17">
        <v>67000</v>
      </c>
      <c r="L39" s="17">
        <v>74657</v>
      </c>
      <c r="M39" s="16">
        <f>L39-K39</f>
        <v>7657</v>
      </c>
      <c r="N39" s="15">
        <f>IFERROR(L39-G39,"0")</f>
        <v>16834</v>
      </c>
      <c r="O39" s="14"/>
      <c r="P39" s="13"/>
      <c r="Q39" s="12">
        <f>IFERROR(N39/G39,"0")</f>
        <v>0.29112982723137854</v>
      </c>
    </row>
    <row r="40" spans="1:17">
      <c r="A40" s="24" t="s">
        <v>15</v>
      </c>
      <c r="B40" s="23">
        <v>356321</v>
      </c>
      <c r="C40" s="22">
        <v>59752</v>
      </c>
      <c r="D40" s="21">
        <f>IFERROR(C40/B40,"0")</f>
        <v>0.1676914916606094</v>
      </c>
      <c r="E40" s="20">
        <v>93</v>
      </c>
      <c r="F40" s="17">
        <v>50000</v>
      </c>
      <c r="G40" s="17">
        <v>62484</v>
      </c>
      <c r="H40" s="16">
        <f>G40-F40</f>
        <v>12484</v>
      </c>
      <c r="I40" s="19">
        <f>IFERROR(G40/C40,"0")</f>
        <v>1.0457223189181952</v>
      </c>
      <c r="J40" s="18">
        <f>IFERROR(G40/E40,"0")</f>
        <v>671.87096774193549</v>
      </c>
      <c r="K40" s="17">
        <v>89000</v>
      </c>
      <c r="L40" s="17">
        <v>90123</v>
      </c>
      <c r="M40" s="16">
        <f>L40-K40</f>
        <v>1123</v>
      </c>
      <c r="N40" s="15">
        <f>IFERROR(L40-G40,"0")</f>
        <v>27639</v>
      </c>
      <c r="O40" s="14"/>
      <c r="P40" s="13"/>
      <c r="Q40" s="12">
        <f>IFERROR(N40/G40,"0")</f>
        <v>0.44233723833301325</v>
      </c>
    </row>
    <row r="43" spans="1:17" ht="30">
      <c r="A43" s="9" t="s">
        <v>14</v>
      </c>
      <c r="B43" s="11" t="s">
        <v>13</v>
      </c>
      <c r="C43" s="11" t="s">
        <v>12</v>
      </c>
      <c r="D43" s="11" t="s">
        <v>11</v>
      </c>
      <c r="E43" s="11" t="s">
        <v>10</v>
      </c>
      <c r="F43" s="11" t="s">
        <v>9</v>
      </c>
      <c r="G43" s="11" t="s">
        <v>8</v>
      </c>
      <c r="H43" s="11" t="s">
        <v>7</v>
      </c>
      <c r="I43" s="11" t="s">
        <v>6</v>
      </c>
      <c r="J43" s="11" t="s">
        <v>5</v>
      </c>
      <c r="K43" s="11" t="s">
        <v>4</v>
      </c>
      <c r="L43" s="11" t="s">
        <v>3</v>
      </c>
      <c r="M43" s="11" t="s">
        <v>2</v>
      </c>
      <c r="N43" s="10" t="s">
        <v>1</v>
      </c>
      <c r="O43" s="10"/>
      <c r="P43" s="10" t="s">
        <v>0</v>
      </c>
      <c r="Q43" s="10"/>
    </row>
    <row r="44" spans="1:17">
      <c r="A44" s="9"/>
      <c r="B44" s="7">
        <f>SUM(B36:B40)</f>
        <v>724077</v>
      </c>
      <c r="C44" s="7">
        <f>SUM(C36:C40)</f>
        <v>195151</v>
      </c>
      <c r="D44" s="8">
        <f>IFERROR(C44/B44,"0")</f>
        <v>0.26951691601860023</v>
      </c>
      <c r="E44" s="7">
        <f>SUM(E36:E40)</f>
        <v>284</v>
      </c>
      <c r="F44" s="5">
        <f>SUM(F36:F40)</f>
        <v>200000</v>
      </c>
      <c r="G44" s="5">
        <f>SUM(G36:G40)</f>
        <v>187926</v>
      </c>
      <c r="H44" s="4">
        <f>G44-F44</f>
        <v>-12074</v>
      </c>
      <c r="I44" s="6">
        <f>SUM(I36:I40)</f>
        <v>4.7413607800381161</v>
      </c>
      <c r="J44" s="5">
        <f>SUM(J36:J40)</f>
        <v>3347.4322681612352</v>
      </c>
      <c r="K44" s="5">
        <f>SUM(K36:K40)</f>
        <v>354000</v>
      </c>
      <c r="L44" s="5">
        <f>SUM(L36:L40)</f>
        <v>366817</v>
      </c>
      <c r="M44" s="4">
        <f>L44-K44</f>
        <v>12817</v>
      </c>
      <c r="N44" s="3">
        <f>IFERROR(L44-G44,"0")</f>
        <v>178891</v>
      </c>
      <c r="O44" s="3"/>
      <c r="P44" s="2">
        <f>IFERROR(N44/G44,"0")</f>
        <v>0.95192256526505115</v>
      </c>
      <c r="Q44" s="2"/>
    </row>
    <row r="50" ht="21" customHeight="1"/>
    <row r="57" ht="24.75" customHeight="1"/>
    <row r="58" ht="21" customHeight="1"/>
    <row r="59" ht="15.75" customHeight="1"/>
    <row r="60" ht="0.75" customHeight="1"/>
    <row r="61" ht="18.75" customHeight="1"/>
    <row r="62" ht="28.5" customHeight="1"/>
    <row r="63" ht="15.75" customHeight="1"/>
    <row r="65" ht="15.75" customHeight="1"/>
    <row r="66" ht="12.75" customHeight="1"/>
    <row r="67" ht="30.75" customHeight="1"/>
  </sheetData>
  <mergeCells count="71">
    <mergeCell ref="F29:G29"/>
    <mergeCell ref="F30:G30"/>
    <mergeCell ref="J18:K18"/>
    <mergeCell ref="J20:K20"/>
    <mergeCell ref="J29:K29"/>
    <mergeCell ref="J30:K30"/>
    <mergeCell ref="F18:G18"/>
    <mergeCell ref="A7:C9"/>
    <mergeCell ref="A14:C14"/>
    <mergeCell ref="O3:P3"/>
    <mergeCell ref="E4:G6"/>
    <mergeCell ref="F26:G26"/>
    <mergeCell ref="F27:G27"/>
    <mergeCell ref="A12:C12"/>
    <mergeCell ref="F23:G23"/>
    <mergeCell ref="F24:G24"/>
    <mergeCell ref="J3:L3"/>
    <mergeCell ref="P43:Q43"/>
    <mergeCell ref="A3:C3"/>
    <mergeCell ref="A43:A44"/>
    <mergeCell ref="A5:C6"/>
    <mergeCell ref="A10:C10"/>
    <mergeCell ref="A13:C13"/>
    <mergeCell ref="J24:K24"/>
    <mergeCell ref="J26:K26"/>
    <mergeCell ref="J27:K27"/>
    <mergeCell ref="N18:O18"/>
    <mergeCell ref="N20:O20"/>
    <mergeCell ref="N21:O21"/>
    <mergeCell ref="N44:O44"/>
    <mergeCell ref="P44:Q44"/>
    <mergeCell ref="N40:P40"/>
    <mergeCell ref="E15:H16"/>
    <mergeCell ref="I15:L16"/>
    <mergeCell ref="N43:O43"/>
    <mergeCell ref="F20:G20"/>
    <mergeCell ref="F21:G21"/>
    <mergeCell ref="J21:K21"/>
    <mergeCell ref="J23:K23"/>
    <mergeCell ref="R16:U17"/>
    <mergeCell ref="R14:U14"/>
    <mergeCell ref="R3:T3"/>
    <mergeCell ref="R4:T6"/>
    <mergeCell ref="R10:U11"/>
    <mergeCell ref="R12:U12"/>
    <mergeCell ref="R13:U13"/>
    <mergeCell ref="R15:U15"/>
    <mergeCell ref="F17:G17"/>
    <mergeCell ref="J17:K17"/>
    <mergeCell ref="N17:O17"/>
    <mergeCell ref="H4:I6"/>
    <mergeCell ref="J4:L6"/>
    <mergeCell ref="E3:G3"/>
    <mergeCell ref="H3:I3"/>
    <mergeCell ref="M4:N6"/>
    <mergeCell ref="O4:P6"/>
    <mergeCell ref="N23:O23"/>
    <mergeCell ref="N24:O24"/>
    <mergeCell ref="N26:O26"/>
    <mergeCell ref="N27:O27"/>
    <mergeCell ref="N29:O29"/>
    <mergeCell ref="M3:N3"/>
    <mergeCell ref="M15:P16"/>
    <mergeCell ref="N30:O30"/>
    <mergeCell ref="N34:P34"/>
    <mergeCell ref="N39:P39"/>
    <mergeCell ref="K34:L34"/>
    <mergeCell ref="N35:P35"/>
    <mergeCell ref="N36:P36"/>
    <mergeCell ref="N37:P37"/>
    <mergeCell ref="N38:P38"/>
  </mergeCells>
  <conditionalFormatting sqref="F18:G18">
    <cfRule type="dataBar" priority="15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{BC54EC3C-66F2-4352-9763-C052923E70C1}</x14:id>
        </ext>
      </extLst>
    </cfRule>
    <cfRule type="dataBar" priority="16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{950480F7-DCDA-4522-B8E5-2C3769BA54AE}</x14:id>
        </ext>
      </extLst>
    </cfRule>
    <cfRule type="dataBar" priority="17">
      <dataBar>
        <cfvo type="num" val="0"/>
        <cfvo type="num" val="0"/>
        <color rgb="FFB5E3E8"/>
      </dataBar>
      <extLst>
        <ext xmlns:x14="http://schemas.microsoft.com/office/spreadsheetml/2009/9/main" uri="{B025F937-C7B1-47D3-B67F-A62EFF666E3E}">
          <x14:id>{00F2F42D-A562-4115-B622-516E64D5EBA6}</x14:id>
        </ext>
      </extLst>
    </cfRule>
    <cfRule type="dataBar" priority="18">
      <dataBar showValue="0">
        <cfvo type="num" val="0"/>
        <cfvo type="num" val="0"/>
        <color rgb="FFB5E3E8"/>
      </dataBar>
      <extLst>
        <ext xmlns:x14="http://schemas.microsoft.com/office/spreadsheetml/2009/9/main" uri="{B025F937-C7B1-47D3-B67F-A62EFF666E3E}">
          <x14:id>{834BD7B7-FF1D-4D4B-9AC2-FA2CCD91A0A1}</x14:id>
        </ext>
      </extLst>
    </cfRule>
  </conditionalFormatting>
  <conditionalFormatting sqref="F21:G21">
    <cfRule type="dataBar" priority="14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{E7F0903A-AF3E-4D96-AAFB-1B95E27228E1}</x14:id>
        </ext>
      </extLst>
    </cfRule>
  </conditionalFormatting>
  <conditionalFormatting sqref="F24:G24">
    <cfRule type="dataBar" priority="13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{A4565A50-C3BC-4E98-978C-2839B64B8B04}</x14:id>
        </ext>
      </extLst>
    </cfRule>
  </conditionalFormatting>
  <conditionalFormatting sqref="F27:G27">
    <cfRule type="dataBar" priority="12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{BC9C39D4-FAD1-4716-B903-71A660273EE7}</x14:id>
        </ext>
      </extLst>
    </cfRule>
  </conditionalFormatting>
  <conditionalFormatting sqref="F30:G30">
    <cfRule type="dataBar" priority="11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{909F7A88-8200-4BD2-8FC8-29C957408BF8}</x14:id>
        </ext>
      </extLst>
    </cfRule>
  </conditionalFormatting>
  <conditionalFormatting sqref="J18:K18">
    <cfRule type="dataBar" priority="10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{8931047E-B41B-47FA-A6E0-84E7543D96D7}</x14:id>
        </ext>
      </extLst>
    </cfRule>
  </conditionalFormatting>
  <conditionalFormatting sqref="J21:K21">
    <cfRule type="dataBar" priority="9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{D9EE284C-2536-4277-AA8E-10BAD17259EE}</x14:id>
        </ext>
      </extLst>
    </cfRule>
  </conditionalFormatting>
  <conditionalFormatting sqref="J24:K24">
    <cfRule type="dataBar" priority="8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{8B6B91EF-4FFB-4216-9FC3-82916094BBFE}</x14:id>
        </ext>
      </extLst>
    </cfRule>
  </conditionalFormatting>
  <conditionalFormatting sqref="J27:K27">
    <cfRule type="dataBar" priority="7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{1D3B0235-3E6B-4AFA-9C95-329D27C8C534}</x14:id>
        </ext>
      </extLst>
    </cfRule>
  </conditionalFormatting>
  <conditionalFormatting sqref="J30:K30">
    <cfRule type="dataBar" priority="6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{C7E7B925-4920-44AB-B8F9-9A099257F30B}</x14:id>
        </ext>
      </extLst>
    </cfRule>
  </conditionalFormatting>
  <conditionalFormatting sqref="N18:O18">
    <cfRule type="dataBar" priority="5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{02F58AD9-7AD3-49B3-80BF-45B9E4784D16}</x14:id>
        </ext>
      </extLst>
    </cfRule>
  </conditionalFormatting>
  <conditionalFormatting sqref="N21:O21">
    <cfRule type="dataBar" priority="4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{5C374A29-AD81-412A-A208-FCC038B49EAC}</x14:id>
        </ext>
      </extLst>
    </cfRule>
  </conditionalFormatting>
  <conditionalFormatting sqref="N24:O24">
    <cfRule type="dataBar" priority="3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{224B72D9-2CDC-4BD1-9768-EB51316F2E30}</x14:id>
        </ext>
      </extLst>
    </cfRule>
  </conditionalFormatting>
  <conditionalFormatting sqref="N27:O27">
    <cfRule type="dataBar" priority="2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{7E9BF039-1DE6-404A-8680-CF181EF3338E}</x14:id>
        </ext>
      </extLst>
    </cfRule>
  </conditionalFormatting>
  <conditionalFormatting sqref="N30:O30">
    <cfRule type="dataBar" priority="1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{2B69FFB1-1D30-4E56-A34C-A9E308A1A308}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54EC3C-66F2-4352-9763-C052923E70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0480F7-DCDA-4522-B8E5-2C3769BA54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F2F42D-A562-4115-B622-516E64D5EBA6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4BD7B7-FF1D-4D4B-9AC2-FA2CCD91A0A1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F18:G18</xm:sqref>
        </x14:conditionalFormatting>
        <x14:conditionalFormatting xmlns:xm="http://schemas.microsoft.com/office/excel/2006/main">
          <x14:cfRule type="dataBar" id="{E7F0903A-AF3E-4D96-AAFB-1B95E27228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F21:G21</xm:sqref>
        </x14:conditionalFormatting>
        <x14:conditionalFormatting xmlns:xm="http://schemas.microsoft.com/office/excel/2006/main">
          <x14:cfRule type="dataBar" id="{A4565A50-C3BC-4E98-978C-2839B64B8B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F24:G24</xm:sqref>
        </x14:conditionalFormatting>
        <x14:conditionalFormatting xmlns:xm="http://schemas.microsoft.com/office/excel/2006/main">
          <x14:cfRule type="dataBar" id="{BC9C39D4-FAD1-4716-B903-71A660273E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F27:G27</xm:sqref>
        </x14:conditionalFormatting>
        <x14:conditionalFormatting xmlns:xm="http://schemas.microsoft.com/office/excel/2006/main">
          <x14:cfRule type="dataBar" id="{909F7A88-8200-4BD2-8FC8-29C957408B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F30:G30</xm:sqref>
        </x14:conditionalFormatting>
        <x14:conditionalFormatting xmlns:xm="http://schemas.microsoft.com/office/excel/2006/main">
          <x14:cfRule type="dataBar" id="{8931047E-B41B-47FA-A6E0-84E7543D96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J18:K18</xm:sqref>
        </x14:conditionalFormatting>
        <x14:conditionalFormatting xmlns:xm="http://schemas.microsoft.com/office/excel/2006/main">
          <x14:cfRule type="dataBar" id="{D9EE284C-2536-4277-AA8E-10BAD17259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J21:K21</xm:sqref>
        </x14:conditionalFormatting>
        <x14:conditionalFormatting xmlns:xm="http://schemas.microsoft.com/office/excel/2006/main">
          <x14:cfRule type="dataBar" id="{8B6B91EF-4FFB-4216-9FC3-82916094BB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J24:K24</xm:sqref>
        </x14:conditionalFormatting>
        <x14:conditionalFormatting xmlns:xm="http://schemas.microsoft.com/office/excel/2006/main">
          <x14:cfRule type="dataBar" id="{1D3B0235-3E6B-4AFA-9C95-329D27C8C5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J27:K27</xm:sqref>
        </x14:conditionalFormatting>
        <x14:conditionalFormatting xmlns:xm="http://schemas.microsoft.com/office/excel/2006/main">
          <x14:cfRule type="dataBar" id="{C7E7B925-4920-44AB-B8F9-9A099257F3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J30:K30</xm:sqref>
        </x14:conditionalFormatting>
        <x14:conditionalFormatting xmlns:xm="http://schemas.microsoft.com/office/excel/2006/main">
          <x14:cfRule type="dataBar" id="{02F58AD9-7AD3-49B3-80BF-45B9E4784D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N18:O18</xm:sqref>
        </x14:conditionalFormatting>
        <x14:conditionalFormatting xmlns:xm="http://schemas.microsoft.com/office/excel/2006/main">
          <x14:cfRule type="dataBar" id="{5C374A29-AD81-412A-A208-FCC038B49E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N21:O21</xm:sqref>
        </x14:conditionalFormatting>
        <x14:conditionalFormatting xmlns:xm="http://schemas.microsoft.com/office/excel/2006/main">
          <x14:cfRule type="dataBar" id="{224B72D9-2CDC-4BD1-9768-EB51316F2E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N24:O24</xm:sqref>
        </x14:conditionalFormatting>
        <x14:conditionalFormatting xmlns:xm="http://schemas.microsoft.com/office/excel/2006/main">
          <x14:cfRule type="dataBar" id="{7E9BF039-1DE6-404A-8680-CF181EF333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N27:O27</xm:sqref>
        </x14:conditionalFormatting>
        <x14:conditionalFormatting xmlns:xm="http://schemas.microsoft.com/office/excel/2006/main">
          <x14:cfRule type="dataBar" id="{2B69FFB1-1D30-4E56-A34C-A9E308A1A3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2026-03-11T16:22:37Z</dcterms:created>
  <dcterms:modified xsi:type="dcterms:W3CDTF">2026-03-11T16:23:03Z</dcterms:modified>
</cp:coreProperties>
</file>