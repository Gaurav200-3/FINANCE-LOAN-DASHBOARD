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FF094D49-F576-4670-8C89-F62F6B8A0652}" xr6:coauthVersionLast="36" xr6:coauthVersionMax="36" xr10:uidLastSave="{00000000-0000-0000-0000-000000000000}"/>
  <bookViews>
    <workbookView xWindow="0" yWindow="0" windowWidth="20490" windowHeight="7125" xr2:uid="{AA824AB0-D477-4706-B422-3B1A19213B9A}"/>
  </bookViews>
  <sheets>
    <sheet name="DATA " sheetId="1" r:id="rId1"/>
    <sheet name="PIVOT TABLES" sheetId="2" r:id="rId2"/>
    <sheet name="DASHBOARD" sheetId="3" r:id="rId3"/>
  </sheets>
  <externalReferences>
    <externalReference r:id="rId4"/>
    <externalReference r:id="rId5"/>
  </externalReferences>
  <definedNames>
    <definedName name="_xlchart.v1.0" hidden="1">'PIVOT TABLES'!$A$23:$A$28</definedName>
    <definedName name="_xlchart.v1.1" hidden="1">'PIVOT TABLES'!$B$20:$B$22</definedName>
    <definedName name="_xlchart.v1.2" hidden="1">'PIVOT TABLES'!$B$23:$B$28</definedName>
    <definedName name="BUDGET_Title">'[1]Monthly Budget Summary'!$B$2</definedName>
    <definedName name="COMPANY_NAME">'[1]Monthly Budget Summary'!$B$1</definedName>
    <definedName name="Plyear">#REF!</definedName>
    <definedName name="Slicer_CATEGORY">#N/A</definedName>
    <definedName name="Slicer_REGION1">#N/A</definedName>
    <definedName name="Slicer_YEAR">#N/A</definedName>
    <definedName name="valpro">#REF!</definedName>
    <definedName name="valregion">#REF!</definedName>
    <definedName name="valyear">#REF!</definedName>
    <definedName name="vblhelpstatus">#REF!</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3" l="1"/>
  <c r="E4" i="3"/>
  <c r="H4" i="3"/>
  <c r="K4" i="3"/>
  <c r="K2" i="1"/>
  <c r="L2" i="1" s="1"/>
  <c r="K3" i="1"/>
  <c r="L3" i="1" s="1"/>
  <c r="K4" i="1"/>
  <c r="L4" i="1" s="1"/>
  <c r="K5" i="1"/>
  <c r="L5" i="1"/>
  <c r="K6" i="1"/>
  <c r="L6" i="1" s="1"/>
  <c r="K7" i="1"/>
  <c r="L7" i="1"/>
  <c r="K8" i="1"/>
  <c r="L8" i="1" s="1"/>
  <c r="K9" i="1"/>
  <c r="L9" i="1"/>
  <c r="K10" i="1"/>
  <c r="L10" i="1" s="1"/>
  <c r="K11" i="1"/>
  <c r="L11" i="1"/>
  <c r="K12" i="1"/>
  <c r="L12" i="1" s="1"/>
  <c r="K13" i="1"/>
  <c r="L13" i="1"/>
  <c r="K14" i="1"/>
  <c r="L14" i="1" s="1"/>
  <c r="K15" i="1"/>
  <c r="L15" i="1"/>
  <c r="K16" i="1"/>
  <c r="L16" i="1" s="1"/>
</calcChain>
</file>

<file path=xl/sharedStrings.xml><?xml version="1.0" encoding="utf-8"?>
<sst xmlns="http://schemas.openxmlformats.org/spreadsheetml/2006/main" count="145" uniqueCount="99">
  <si>
    <t>Tablet</t>
  </si>
  <si>
    <t>Electronics</t>
  </si>
  <si>
    <t>William King</t>
  </si>
  <si>
    <t>South</t>
  </si>
  <si>
    <t>CUST3310</t>
  </si>
  <si>
    <t>ORD0015</t>
  </si>
  <si>
    <t>Juice</t>
  </si>
  <si>
    <t>Food</t>
  </si>
  <si>
    <t>Mia Hall</t>
  </si>
  <si>
    <t>North</t>
  </si>
  <si>
    <t>CUST5527</t>
  </si>
  <si>
    <t>ORD0014</t>
  </si>
  <si>
    <t>Shoes</t>
  </si>
  <si>
    <t>Clothing</t>
  </si>
  <si>
    <t>James Allen</t>
  </si>
  <si>
    <t>East</t>
  </si>
  <si>
    <t>CUST8221</t>
  </si>
  <si>
    <t>ORD0013</t>
  </si>
  <si>
    <t>Bookshelf</t>
  </si>
  <si>
    <t>Furniture</t>
  </si>
  <si>
    <t>Amelia Walker</t>
  </si>
  <si>
    <t>CUST6138</t>
  </si>
  <si>
    <t>ORD0012</t>
  </si>
  <si>
    <t>Paper</t>
  </si>
  <si>
    <t>Office Supplies</t>
  </si>
  <si>
    <t>Ethan Robinson</t>
  </si>
  <si>
    <t>West</t>
  </si>
  <si>
    <t>CUST7924</t>
  </si>
  <si>
    <t>ORD0011</t>
  </si>
  <si>
    <t>Smartphone</t>
  </si>
  <si>
    <t>Lucas Thompson</t>
  </si>
  <si>
    <t>CUST4156</t>
  </si>
  <si>
    <t>ORD0010</t>
  </si>
  <si>
    <t>Dress</t>
  </si>
  <si>
    <t>Isabella Lopez</t>
  </si>
  <si>
    <t>CUST8377</t>
  </si>
  <si>
    <t>ORD0009</t>
  </si>
  <si>
    <t>Chocolate</t>
  </si>
  <si>
    <t>Mason White</t>
  </si>
  <si>
    <t>CUST6099</t>
  </si>
  <si>
    <t>ORD0008</t>
  </si>
  <si>
    <t>Chair</t>
  </si>
  <si>
    <t>Ava Martinez</t>
  </si>
  <si>
    <t>CUST4778</t>
  </si>
  <si>
    <t>ORD0007</t>
  </si>
  <si>
    <t>Monitor</t>
  </si>
  <si>
    <t>Noah Wilson</t>
  </si>
  <si>
    <t>CUST2554</t>
  </si>
  <si>
    <t>ORD0006</t>
  </si>
  <si>
    <t>Printer</t>
  </si>
  <si>
    <t>Olivia Davis</t>
  </si>
  <si>
    <t>CUST9932</t>
  </si>
  <si>
    <t>ORD0005</t>
  </si>
  <si>
    <t>Coffee</t>
  </si>
  <si>
    <t>Liam Carter</t>
  </si>
  <si>
    <t>CUST6488</t>
  </si>
  <si>
    <t>ORD0004</t>
  </si>
  <si>
    <t>Jacket</t>
  </si>
  <si>
    <t>Emma Brown</t>
  </si>
  <si>
    <t>CUST3015</t>
  </si>
  <si>
    <t>ORD0003</t>
  </si>
  <si>
    <t>Desk</t>
  </si>
  <si>
    <t>Daniel Lee</t>
  </si>
  <si>
    <t>CUST7629</t>
  </si>
  <si>
    <t>ORD0002</t>
  </si>
  <si>
    <t>Laptop</t>
  </si>
  <si>
    <t>Sarah Johnson</t>
  </si>
  <si>
    <t>CUST5841</t>
  </si>
  <si>
    <t>ORD0001</t>
  </si>
  <si>
    <t>profit 10%</t>
  </si>
  <si>
    <t>amount</t>
  </si>
  <si>
    <t>QTY</t>
  </si>
  <si>
    <t>PRICE</t>
  </si>
  <si>
    <t>PRODUCT</t>
  </si>
  <si>
    <t>CATEGORY</t>
  </si>
  <si>
    <t>CUSTOMER NAME</t>
  </si>
  <si>
    <t>REGION</t>
  </si>
  <si>
    <t>CUSTOMER ID</t>
  </si>
  <si>
    <t>YEAR</t>
  </si>
  <si>
    <t>ORDER DATE</t>
  </si>
  <si>
    <t>Column1</t>
  </si>
  <si>
    <t>Grand Total</t>
  </si>
  <si>
    <t>Sum of QTY</t>
  </si>
  <si>
    <t>Row Labels</t>
  </si>
  <si>
    <t>PIVOT TABLE -5</t>
  </si>
  <si>
    <t>Qtr4</t>
  </si>
  <si>
    <t>Qtr3</t>
  </si>
  <si>
    <t>Qtr2</t>
  </si>
  <si>
    <t>Sum of amount</t>
  </si>
  <si>
    <t>Sum of profit 10%</t>
  </si>
  <si>
    <t>PIVOT TABLE -4</t>
  </si>
  <si>
    <t>PIVOT TABLE -3</t>
  </si>
  <si>
    <t>PIVOT TABLE -2</t>
  </si>
  <si>
    <t xml:space="preserve">PIVOT TABLE -1 </t>
  </si>
  <si>
    <t>PROFIT</t>
  </si>
  <si>
    <t>QUANTITY</t>
  </si>
  <si>
    <t>ORDERS</t>
  </si>
  <si>
    <t>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</si>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</sst>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u/>
      <sz val="11"/>
      <color theme="1"/>
      <name val="Times New Roman"/>
      <family val="1"/>
    </font>
    <font>
      <b/>
      <u/>
      <sz val="14"/>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2"/>
        <bgColor indexed="64"/>
      </patternFill>
    </fill>
    <fill>
      <patternFill patternType="solid">
        <fgColor theme="0"/>
        <bgColor indexed="64"/>
      </patternFill>
    </fill>
    <fill>
      <patternFill patternType="solid">
        <fgColor rgb="FF90D7DD"/>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0" borderId="0" xfId="0" applyFont="1" applyAlignment="1">
      <alignment horizontal="center" vertical="center" wrapText="1"/>
    </xf>
    <xf numFmtId="0" fontId="0" fillId="0" borderId="0" xfId="0" applyNumberFormat="1"/>
    <xf numFmtId="0" fontId="0" fillId="0" borderId="0" xfId="0" applyAlignment="1">
      <alignment horizontal="left"/>
    </xf>
    <xf numFmtId="0" fontId="0" fillId="0" borderId="0" xfId="0" pivotButton="1"/>
    <xf numFmtId="0" fontId="2" fillId="3" borderId="0" xfId="0" applyFont="1" applyFill="1" applyAlignment="1">
      <alignment horizontal="left"/>
    </xf>
    <xf numFmtId="14" fontId="0" fillId="0" borderId="0" xfId="0" applyNumberFormat="1" applyAlignment="1">
      <alignment horizontal="left"/>
    </xf>
    <xf numFmtId="0" fontId="2" fillId="3" borderId="0" xfId="0" applyFont="1" applyFill="1" applyAlignment="1">
      <alignment horizontal="center"/>
    </xf>
    <xf numFmtId="0" fontId="0" fillId="4" borderId="0" xfId="0" applyFill="1"/>
    <xf numFmtId="0" fontId="0" fillId="0" borderId="0" xfId="0" applyAlignment="1">
      <alignment horizontal="center"/>
    </xf>
    <xf numFmtId="0" fontId="0" fillId="5" borderId="0" xfId="0" applyFill="1" applyAlignment="1">
      <alignment horizontal="center"/>
    </xf>
    <xf numFmtId="0" fontId="0" fillId="5" borderId="0" xfId="0" applyFill="1"/>
    <xf numFmtId="0" fontId="0" fillId="6" borderId="0" xfId="0" applyFill="1" applyAlignment="1">
      <alignment horizontal="center"/>
    </xf>
    <xf numFmtId="0" fontId="1" fillId="5" borderId="0" xfId="0" applyFont="1" applyFill="1" applyAlignment="1">
      <alignment horizontal="center"/>
    </xf>
    <xf numFmtId="0" fontId="3" fillId="7" borderId="0" xfId="0" applyFont="1" applyFill="1" applyAlignment="1">
      <alignment horizontal="center" vertical="center"/>
    </xf>
  </cellXfs>
  <cellStyles count="1">
    <cellStyle name="Normal" xfId="0" builtinId="0"/>
  </cellStyles>
  <dxfs count="14">
    <dxf>
      <numFmt numFmtId="0" formatCode="General"/>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5" tint="0.7999816888943144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TABLES!PivotTable4</c:name>
    <c:fmtId val="2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ysClr val="windowText" lastClr="000000"/>
                </a:solidFill>
              </a:rPr>
              <a:t>QUARTELY</a:t>
            </a:r>
            <a:r>
              <a:rPr lang="en-US" sz="1100" b="1" baseline="0">
                <a:solidFill>
                  <a:sysClr val="windowText" lastClr="000000"/>
                </a:solidFill>
              </a:rPr>
              <a:t> SALES</a:t>
            </a:r>
            <a:endParaRPr lang="en-US" sz="1100" b="1">
              <a:solidFill>
                <a:sysClr val="windowText" lastClr="000000"/>
              </a:solidFill>
            </a:endParaRPr>
          </a:p>
        </c:rich>
      </c:tx>
      <c:layout>
        <c:manualLayout>
          <c:xMode val="edge"/>
          <c:yMode val="edge"/>
          <c:x val="0.31752565863908189"/>
          <c:y val="1.8140589569160998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stacked"/>
        <c:varyColors val="0"/>
        <c:ser>
          <c:idx val="0"/>
          <c:order val="0"/>
          <c:tx>
            <c:strRef>
              <c:f>'PIVOT TABLES'!$N$3</c:f>
              <c:strCache>
                <c:ptCount val="1"/>
                <c:pt idx="0">
                  <c:v>Total</c:v>
                </c:pt>
              </c:strCache>
            </c:strRef>
          </c:tx>
          <c:spPr>
            <a:solidFill>
              <a:schemeClr val="accent1"/>
            </a:solidFill>
            <a:ln>
              <a:noFill/>
            </a:ln>
            <a:effectLst/>
          </c:spPr>
          <c:invertIfNegative val="0"/>
          <c:cat>
            <c:strRef>
              <c:f>'PIVOT TABLES'!$M$4:$M$7</c:f>
              <c:strCache>
                <c:ptCount val="3"/>
                <c:pt idx="0">
                  <c:v>Qtr2</c:v>
                </c:pt>
                <c:pt idx="1">
                  <c:v>Qtr3</c:v>
                </c:pt>
                <c:pt idx="2">
                  <c:v>Qtr4</c:v>
                </c:pt>
              </c:strCache>
            </c:strRef>
          </c:cat>
          <c:val>
            <c:numRef>
              <c:f>'PIVOT TABLES'!$N$4:$N$7</c:f>
              <c:numCache>
                <c:formatCode>General</c:formatCode>
                <c:ptCount val="3"/>
                <c:pt idx="0">
                  <c:v>380</c:v>
                </c:pt>
                <c:pt idx="1">
                  <c:v>429</c:v>
                </c:pt>
                <c:pt idx="2">
                  <c:v>388.3</c:v>
                </c:pt>
              </c:numCache>
            </c:numRef>
          </c:val>
          <c:extLst>
            <c:ext xmlns:c16="http://schemas.microsoft.com/office/drawing/2014/chart" uri="{C3380CC4-5D6E-409C-BE32-E72D297353CC}">
              <c16:uniqueId val="{00000001-D9B1-42F7-9BA8-2D895275080F}"/>
            </c:ext>
          </c:extLst>
        </c:ser>
        <c:dLbls>
          <c:showLegendKey val="0"/>
          <c:showVal val="0"/>
          <c:showCatName val="0"/>
          <c:showSerName val="0"/>
          <c:showPercent val="0"/>
          <c:showBubbleSize val="0"/>
        </c:dLbls>
        <c:gapWidth val="150"/>
        <c:overlap val="100"/>
        <c:axId val="1626691568"/>
        <c:axId val="2101602176"/>
      </c:barChart>
      <c:catAx>
        <c:axId val="162669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02176"/>
        <c:crosses val="autoZero"/>
        <c:auto val="1"/>
        <c:lblAlgn val="ctr"/>
        <c:lblOffset val="100"/>
        <c:noMultiLvlLbl val="0"/>
      </c:catAx>
      <c:valAx>
        <c:axId val="2101602176"/>
        <c:scaling>
          <c:orientation val="minMax"/>
        </c:scaling>
        <c:delete val="1"/>
        <c:axPos val="b"/>
        <c:numFmt formatCode="General" sourceLinked="1"/>
        <c:majorTickMark val="none"/>
        <c:minorTickMark val="none"/>
        <c:tickLblPos val="nextTo"/>
        <c:crossAx val="162669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DASHBOARD.xlsx]PIVOT TABLES!PivotTable3</c:name>
    <c:fmtId val="37"/>
  </c:pivotSource>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US" sz="1100" b="1">
                <a:solidFill>
                  <a:sysClr val="windowText" lastClr="000000"/>
                </a:solidFill>
              </a:rPr>
              <a:t>CATEGORY</a:t>
            </a:r>
            <a:r>
              <a:rPr lang="en-US" sz="1100" b="1" baseline="0">
                <a:solidFill>
                  <a:sysClr val="windowText" lastClr="000000"/>
                </a:solidFill>
              </a:rPr>
              <a:t> SALES</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TABLES'!$G$4:$G$7</c:f>
              <c:strCache>
                <c:ptCount val="3"/>
                <c:pt idx="0">
                  <c:v>Office Supplies</c:v>
                </c:pt>
                <c:pt idx="1">
                  <c:v>Furniture</c:v>
                </c:pt>
                <c:pt idx="2">
                  <c:v>Clothing</c:v>
                </c:pt>
              </c:strCache>
            </c:strRef>
          </c:cat>
          <c:val>
            <c:numRef>
              <c:f>'PIVOT TABLES'!$H$4:$H$7</c:f>
              <c:numCache>
                <c:formatCode>General</c:formatCode>
                <c:ptCount val="3"/>
                <c:pt idx="0">
                  <c:v>329</c:v>
                </c:pt>
                <c:pt idx="1">
                  <c:v>429</c:v>
                </c:pt>
                <c:pt idx="2">
                  <c:v>439.3</c:v>
                </c:pt>
              </c:numCache>
            </c:numRef>
          </c:val>
          <c:extLst>
            <c:ext xmlns:c16="http://schemas.microsoft.com/office/drawing/2014/chart" uri="{C3380CC4-5D6E-409C-BE32-E72D297353CC}">
              <c16:uniqueId val="{0000000B-D5CC-4546-A03B-BCE17B547744}"/>
            </c:ext>
          </c:extLst>
        </c:ser>
        <c:dLbls>
          <c:dLblPos val="ctr"/>
          <c:showLegendKey val="0"/>
          <c:showVal val="1"/>
          <c:showCatName val="0"/>
          <c:showSerName val="0"/>
          <c:showPercent val="0"/>
          <c:showBubbleSize val="0"/>
        </c:dLbls>
        <c:gapWidth val="150"/>
        <c:overlap val="100"/>
        <c:axId val="2104871888"/>
        <c:axId val="2101564736"/>
      </c:barChart>
      <c:catAx>
        <c:axId val="210487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564736"/>
        <c:crosses val="autoZero"/>
        <c:auto val="1"/>
        <c:lblAlgn val="ctr"/>
        <c:lblOffset val="100"/>
        <c:noMultiLvlLbl val="0"/>
      </c:catAx>
      <c:valAx>
        <c:axId val="2101564736"/>
        <c:scaling>
          <c:orientation val="minMax"/>
        </c:scaling>
        <c:delete val="1"/>
        <c:axPos val="l"/>
        <c:numFmt formatCode="General" sourceLinked="1"/>
        <c:majorTickMark val="none"/>
        <c:minorTickMark val="none"/>
        <c:tickLblPos val="nextTo"/>
        <c:crossAx val="210487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QUANTITY SALES</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solidFill>
              <a:latin typeface="Calibri" panose="020F0502020204030204"/>
            </a:rPr>
            <a:t>QUANTITY SALES</a:t>
          </a:r>
        </a:p>
      </cx:txPr>
    </cx:title>
    <cx:plotArea>
      <cx:plotAreaRegion>
        <cx:series layoutId="treemap" uniqueId="{6A9AF4EF-C66A-41BF-891D-377345B7A9D2}">
          <cx:tx>
            <cx:txData>
              <cx:f>_xlchart.v1.1</cx:f>
              <cx:v>Sum of QTY</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457200</xdr:colOff>
      <xdr:row>0</xdr:row>
      <xdr:rowOff>314325</xdr:rowOff>
    </xdr:from>
    <xdr:to>
      <xdr:col>17</xdr:col>
      <xdr:colOff>180976</xdr:colOff>
      <xdr:row>6</xdr:row>
      <xdr:rowOff>9525</xdr:rowOff>
    </xdr:to>
    <xdr:graphicFrame macro="">
      <xdr:nvGraphicFramePr>
        <xdr:cNvPr id="2" name="Chart 1">
          <a:extLst>
            <a:ext uri="{FF2B5EF4-FFF2-40B4-BE49-F238E27FC236}">
              <a16:creationId xmlns:a16="http://schemas.microsoft.com/office/drawing/2014/main" id="{768D3856-659A-4472-8A88-D5BB3BD8A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428625</xdr:colOff>
      <xdr:row>7</xdr:row>
      <xdr:rowOff>76200</xdr:rowOff>
    </xdr:from>
    <xdr:to>
      <xdr:col>6</xdr:col>
      <xdr:colOff>19050</xdr:colOff>
      <xdr:row>19</xdr:row>
      <xdr:rowOff>171450</xdr:rowOff>
    </xdr:to>
    <xdr:graphicFrame macro="">
      <xdr:nvGraphicFramePr>
        <xdr:cNvPr id="3" name="Chart 2">
          <a:extLst>
            <a:ext uri="{FF2B5EF4-FFF2-40B4-BE49-F238E27FC236}">
              <a16:creationId xmlns:a16="http://schemas.microsoft.com/office/drawing/2014/main" id="{084B73FC-9A55-45E4-A789-9EF2B2E67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542924</xdr:colOff>
      <xdr:row>7</xdr:row>
      <xdr:rowOff>76199</xdr:rowOff>
    </xdr:from>
    <xdr:to>
      <xdr:col>12</xdr:col>
      <xdr:colOff>47625</xdr:colOff>
      <xdr:row>19</xdr:row>
      <xdr:rowOff>171450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BFAC671-3B18-45BD-A9AF-B552F865FF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200524" y="1409699"/>
              <a:ext cx="3162301" cy="23812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12</xdr:col>
      <xdr:colOff>514350</xdr:colOff>
      <xdr:row>15</xdr:row>
      <xdr:rowOff>161925</xdr:rowOff>
    </xdr:from>
    <xdr:ext cx="2762250" cy="666749"/>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4A1DFF29-5E9D-43F3-AAC3-20B7A5A3B5A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829550" y="3552825"/>
              <a:ext cx="2762250"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514349</xdr:colOff>
      <xdr:row>7</xdr:row>
      <xdr:rowOff>76201</xdr:rowOff>
    </xdr:from>
    <xdr:ext cx="2762251" cy="704849"/>
    <mc:AlternateContent xmlns:mc="http://schemas.openxmlformats.org/markup-compatibility/2006">
      <mc:Choice xmlns:a14="http://schemas.microsoft.com/office/drawing/2010/main" Requires="a14">
        <xdr:graphicFrame macro="">
          <xdr:nvGraphicFramePr>
            <xdr:cNvPr id="6" name="REGION 2">
              <a:extLst>
                <a:ext uri="{FF2B5EF4-FFF2-40B4-BE49-F238E27FC236}">
                  <a16:creationId xmlns:a16="http://schemas.microsoft.com/office/drawing/2014/main" id="{8C01F67C-D98D-4207-9E95-0F0315330FB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7829549" y="1943101"/>
              <a:ext cx="2762251"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514349</xdr:colOff>
      <xdr:row>11</xdr:row>
      <xdr:rowOff>19051</xdr:rowOff>
    </xdr:from>
    <xdr:ext cx="2762251" cy="923924"/>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D5960CF0-BB7F-4A6A-8A50-04DF445AADB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829549" y="2647951"/>
              <a:ext cx="2762251" cy="923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onthly%20company%20budget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E414342E2E6ACFE6/GAURAV%20JOSHI%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Budget Summary"/>
      <sheetName val="Income"/>
      <sheetName val="Personnel Expenses"/>
      <sheetName val="Operating Expenses"/>
    </sheetNames>
    <sheetDataSet>
      <sheetData sheetId="0">
        <row r="1">
          <cell r="B1" t="str">
            <v>COMPANY NAME</v>
          </cell>
        </row>
        <row r="2">
          <cell r="B2" t="str">
            <v>MONTHLY BUDGET</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LOAN"/>
      <sheetName val="CAR LOAN"/>
      <sheetName val="PERSONAL LOAN"/>
      <sheetName val="EDUCATION LOAN"/>
      <sheetName val="DATA.. "/>
      <sheetName val="CALCULATION  .."/>
      <sheetName val="DASHBOARD.."/>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E414342E2E6ACFE6/GAURAV%20JOSHI/ADVANCE%20EXCEL%20GAURAV%20JOSHI.xlsm"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73.55429965278" createdVersion="6" refreshedVersion="6" minRefreshableVersion="3" recordCount="15" xr:uid="{59F0D5ED-C0AC-4754-8CBA-3F055E4AFE65}">
  <cacheSource type="worksheet">
    <worksheetSource name="Table4" r:id="rId2"/>
  </cacheSource>
  <cacheFields count="12">
    <cacheField name="Column1" numFmtId="0">
      <sharedItems/>
    </cacheField>
    <cacheField name="ORDER DATE" numFmtId="14">
      <sharedItems containsSemiMixedTypes="0" containsNonDate="0" containsDate="1" containsString="0" minDate="2023-06-18T00:00:00" maxDate="2025-05-18T00:00:00" count="15">
        <d v="2024-03-12T00:00:00"/>
        <d v="2023-07-25T00:00:00"/>
        <d v="2025-02-10T00:00:00"/>
        <d v="2023-09-14T00:00:00"/>
        <d v="2024-12-22T00:00:00"/>
        <d v="2025-01-05T00:00:00"/>
        <d v="2023-06-18T00:00:00"/>
        <d v="2024-04-30T00:00:00"/>
        <d v="2024-10-02T00:00:00"/>
        <d v="2025-03-08T00:00:00"/>
        <d v="2023-11-15T00:00:00"/>
        <d v="2024-07-09T00:00:00"/>
        <d v="2025-05-17T00:00:00"/>
        <d v="2024-02-26T00:00:00"/>
        <d v="2023-10-10T00:00:00"/>
      </sharedItems>
      <fieldGroup base="1">
        <rangePr groupBy="quarters" startDate="2023-06-18T00:00:00" endDate="2025-05-18T00:00:00"/>
        <groupItems count="6">
          <s v="&lt;18/06/2023"/>
          <s v="Qtr1"/>
          <s v="Qtr2"/>
          <s v="Qtr3"/>
          <s v="Qtr4"/>
          <s v="&gt;18/05/2025"/>
        </groupItems>
      </fieldGroup>
    </cacheField>
    <cacheField name="YEAR" numFmtId="0">
      <sharedItems containsSemiMixedTypes="0" containsString="0" containsNumber="1" containsInteger="1" minValue="2023" maxValue="2025" count="3">
        <n v="2024"/>
        <n v="2023"/>
        <n v="2025"/>
      </sharedItems>
    </cacheField>
    <cacheField name="CUSTOMER ID" numFmtId="0">
      <sharedItems/>
    </cacheField>
    <cacheField name="REGION" numFmtId="0">
      <sharedItems count="4">
        <s v="North"/>
        <s v="East"/>
        <s v="West"/>
        <s v="South"/>
      </sharedItems>
    </cacheField>
    <cacheField name="CUSTOMER NAME" numFmtId="0">
      <sharedItems/>
    </cacheField>
    <cacheField name="CATEGORY" numFmtId="0">
      <sharedItems count="5">
        <s v="Electronics"/>
        <s v="Furniture"/>
        <s v="Clothing"/>
        <s v="Food"/>
        <s v="Office Supplies"/>
      </sharedItems>
    </cacheField>
    <cacheField name="PRODUCT" numFmtId="0">
      <sharedItems count="15">
        <s v="Laptop"/>
        <s v="Desk"/>
        <s v="Jacket"/>
        <s v="Coffee"/>
        <s v="Printer"/>
        <s v="Monitor"/>
        <s v="Chair"/>
        <s v="Chocolate"/>
        <s v="Dress"/>
        <s v="Smartphone"/>
        <s v="Paper"/>
        <s v="Bookshelf"/>
        <s v="Shoes"/>
        <s v="Juice"/>
        <s v="Tablet"/>
      </sharedItems>
    </cacheField>
    <cacheField name="PRICE" numFmtId="0">
      <sharedItems containsSemiMixedTypes="0" containsString="0" containsNumber="1" minValue="8.75" maxValue="489.99"/>
    </cacheField>
    <cacheField name="QTY" numFmtId="0">
      <sharedItems containsSemiMixedTypes="0" containsString="0" containsNumber="1" containsInteger="1" minValue="1" maxValue="12"/>
    </cacheField>
    <cacheField name="amount" numFmtId="0">
      <sharedItems containsSemiMixedTypes="0" containsString="0" containsNumber="1" minValue="59.3" maxValue="1959.96"/>
    </cacheField>
    <cacheField name="profit 10%" numFmtId="0">
      <sharedItems containsSemiMixedTypes="0" containsString="0" containsNumber="1" minValue="5.93" maxValue="195.99600000000001"/>
    </cacheField>
  </cacheFields>
  <extLst>
    <ext xmlns:x14="http://schemas.microsoft.com/office/spreadsheetml/2009/9/main" uri="{725AE2AE-9491-48be-B2B4-4EB974FC3084}">
      <x14:pivotCacheDefinition pivotCacheId="1894932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ORD0001"/>
    <x v="0"/>
    <x v="0"/>
    <s v="CUST5841"/>
    <x v="0"/>
    <s v="Sarah Johnson"/>
    <x v="0"/>
    <x v="0"/>
    <n v="489.99"/>
    <n v="4"/>
    <n v="1959.96"/>
    <n v="195.99600000000001"/>
  </r>
  <r>
    <s v="ORD0002"/>
    <x v="1"/>
    <x v="1"/>
    <s v="CUST7629"/>
    <x v="1"/>
    <s v="Daniel Lee"/>
    <x v="1"/>
    <x v="1"/>
    <n v="214.5"/>
    <n v="2"/>
    <n v="429"/>
    <n v="42.900000000000006"/>
  </r>
  <r>
    <s v="ORD0003"/>
    <x v="2"/>
    <x v="2"/>
    <s v="CUST3015"/>
    <x v="2"/>
    <s v="Emma Brown"/>
    <x v="2"/>
    <x v="2"/>
    <n v="79.95"/>
    <n v="3"/>
    <n v="239.85000000000002"/>
    <n v="23.985000000000003"/>
  </r>
  <r>
    <s v="ORD0004"/>
    <x v="3"/>
    <x v="1"/>
    <s v="CUST6488"/>
    <x v="3"/>
    <s v="Liam Carter"/>
    <x v="3"/>
    <x v="3"/>
    <n v="15.25"/>
    <n v="6"/>
    <n v="91.5"/>
    <n v="9.15"/>
  </r>
  <r>
    <s v="ORD0005"/>
    <x v="4"/>
    <x v="0"/>
    <s v="CUST9932"/>
    <x v="1"/>
    <s v="Olivia Davis"/>
    <x v="4"/>
    <x v="4"/>
    <n v="329"/>
    <n v="1"/>
    <n v="329"/>
    <n v="32.9"/>
  </r>
  <r>
    <s v="ORD0006"/>
    <x v="5"/>
    <x v="2"/>
    <s v="CUST2554"/>
    <x v="0"/>
    <s v="Noah Wilson"/>
    <x v="0"/>
    <x v="5"/>
    <n v="189.75"/>
    <n v="5"/>
    <n v="948.75"/>
    <n v="94.875"/>
  </r>
  <r>
    <s v="ORD0007"/>
    <x v="6"/>
    <x v="1"/>
    <s v="CUST4778"/>
    <x v="2"/>
    <s v="Ava Martinez"/>
    <x v="1"/>
    <x v="6"/>
    <n v="125.9"/>
    <n v="2"/>
    <n v="251.8"/>
    <n v="25.180000000000003"/>
  </r>
  <r>
    <s v="ORD0008"/>
    <x v="7"/>
    <x v="0"/>
    <s v="CUST6099"/>
    <x v="3"/>
    <s v="Mason White"/>
    <x v="3"/>
    <x v="7"/>
    <n v="12.4"/>
    <n v="10"/>
    <n v="124"/>
    <n v="12.4"/>
  </r>
  <r>
    <s v="ORD0009"/>
    <x v="8"/>
    <x v="0"/>
    <s v="CUST8377"/>
    <x v="1"/>
    <s v="Isabella Lopez"/>
    <x v="2"/>
    <x v="8"/>
    <n v="59.3"/>
    <n v="1"/>
    <n v="59.3"/>
    <n v="5.93"/>
  </r>
  <r>
    <s v="ORD0010"/>
    <x v="9"/>
    <x v="2"/>
    <s v="CUST4156"/>
    <x v="0"/>
    <s v="Lucas Thompson"/>
    <x v="0"/>
    <x v="9"/>
    <n v="425.6"/>
    <n v="2"/>
    <n v="851.2"/>
    <n v="85.12"/>
  </r>
  <r>
    <s v="ORD0011"/>
    <x v="10"/>
    <x v="1"/>
    <s v="CUST7924"/>
    <x v="2"/>
    <s v="Ethan Robinson"/>
    <x v="4"/>
    <x v="10"/>
    <n v="23.5"/>
    <n v="12"/>
    <n v="282"/>
    <n v="28.200000000000003"/>
  </r>
  <r>
    <s v="ORD0012"/>
    <x v="11"/>
    <x v="0"/>
    <s v="CUST6138"/>
    <x v="3"/>
    <s v="Amelia Walker"/>
    <x v="1"/>
    <x v="11"/>
    <n v="178.99"/>
    <n v="1"/>
    <n v="178.99"/>
    <n v="17.899000000000001"/>
  </r>
  <r>
    <s v="ORD0013"/>
    <x v="12"/>
    <x v="2"/>
    <s v="CUST8221"/>
    <x v="1"/>
    <s v="James Allen"/>
    <x v="2"/>
    <x v="12"/>
    <n v="95"/>
    <n v="4"/>
    <n v="380"/>
    <n v="38"/>
  </r>
  <r>
    <s v="ORD0014"/>
    <x v="13"/>
    <x v="0"/>
    <s v="CUST5527"/>
    <x v="0"/>
    <s v="Mia Hall"/>
    <x v="3"/>
    <x v="13"/>
    <n v="8.75"/>
    <n v="8"/>
    <n v="70"/>
    <n v="7"/>
  </r>
  <r>
    <s v="ORD0015"/>
    <x v="14"/>
    <x v="1"/>
    <s v="CUST3310"/>
    <x v="3"/>
    <s v="William King"/>
    <x v="0"/>
    <x v="14"/>
    <n v="289.39999999999998"/>
    <n v="3"/>
    <n v="868.19999999999993"/>
    <n v="86.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08EFAA-E020-4A01-B9A7-F778DF7D5984}"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K8" firstHeaderRow="1" firstDataRow="1" firstDataCol="1"/>
  <pivotFields count="12">
    <pivotField showAll="0"/>
    <pivotField numFmtId="14" showAll="0"/>
    <pivotField showAll="0">
      <items count="4">
        <item x="1"/>
        <item x="0"/>
        <item x="2"/>
        <item t="default"/>
      </items>
    </pivotField>
    <pivotField showAll="0"/>
    <pivotField showAll="0">
      <items count="5">
        <item x="1"/>
        <item h="1" x="0"/>
        <item h="1" x="3"/>
        <item h="1" x="2"/>
        <item t="default"/>
      </items>
    </pivotField>
    <pivotField showAll="0"/>
    <pivotField showAll="0">
      <items count="6">
        <item x="2"/>
        <item x="0"/>
        <item x="3"/>
        <item x="1"/>
        <item x="4"/>
        <item t="default"/>
      </items>
    </pivotField>
    <pivotField axis="axisRow" showAll="0">
      <items count="16">
        <item x="5"/>
        <item x="11"/>
        <item x="6"/>
        <item x="7"/>
        <item x="3"/>
        <item x="1"/>
        <item x="8"/>
        <item x="2"/>
        <item x="13"/>
        <item x="0"/>
        <item x="10"/>
        <item x="4"/>
        <item x="12"/>
        <item x="9"/>
        <item x="14"/>
        <item t="default"/>
      </items>
    </pivotField>
    <pivotField showAll="0"/>
    <pivotField showAll="0"/>
    <pivotField dataField="1" showAll="0"/>
    <pivotField showAll="0"/>
  </pivotFields>
  <rowFields count="1">
    <field x="7"/>
  </rowFields>
  <rowItems count="5">
    <i>
      <x v="5"/>
    </i>
    <i>
      <x v="6"/>
    </i>
    <i>
      <x v="11"/>
    </i>
    <i>
      <x v="12"/>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F3D068-5A66-4BB1-9B93-0E7AABBFC8FD}"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7" firstHeaderRow="0" firstDataRow="1" firstDataCol="1"/>
  <pivotFields count="12">
    <pivotField showAll="0"/>
    <pivotField axis="axisRow" numFmtId="14" showAll="0">
      <items count="7">
        <item x="0"/>
        <item x="1"/>
        <item x="2"/>
        <item x="3"/>
        <item x="4"/>
        <item x="5"/>
        <item t="default"/>
      </items>
    </pivotField>
    <pivotField showAll="0">
      <items count="4">
        <item x="1"/>
        <item x="0"/>
        <item x="2"/>
        <item t="default"/>
      </items>
    </pivotField>
    <pivotField showAll="0"/>
    <pivotField showAll="0">
      <items count="5">
        <item x="1"/>
        <item h="1" x="0"/>
        <item h="1" x="3"/>
        <item h="1" x="2"/>
        <item t="default"/>
      </items>
    </pivotField>
    <pivotField showAll="0"/>
    <pivotField showAll="0">
      <items count="6">
        <item x="2"/>
        <item x="0"/>
        <item x="3"/>
        <item x="1"/>
        <item x="4"/>
        <item t="default"/>
      </items>
    </pivotField>
    <pivotField showAll="0"/>
    <pivotField showAll="0"/>
    <pivotField dataField="1" showAll="0"/>
    <pivotField dataField="1" showAll="0"/>
    <pivotField dataField="1" showAll="0"/>
  </pivotFields>
  <rowFields count="1">
    <field x="1"/>
  </rowFields>
  <rowItems count="4">
    <i>
      <x v="2"/>
    </i>
    <i>
      <x v="3"/>
    </i>
    <i>
      <x v="4"/>
    </i>
    <i t="grand">
      <x/>
    </i>
  </rowItems>
  <colFields count="1">
    <field x="-2"/>
  </colFields>
  <colItems count="3">
    <i>
      <x/>
    </i>
    <i i="1">
      <x v="1"/>
    </i>
    <i i="2">
      <x v="2"/>
    </i>
  </colItems>
  <dataFields count="3">
    <dataField name="Sum of amount" fld="10" baseField="0" baseItem="0"/>
    <dataField name="Sum of QTY" fld="9" baseField="0" baseItem="0"/>
    <dataField name="Sum of profit 10%"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8468DA-866B-44EE-9CB8-B5C9AB847518}"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8">
  <location ref="G3:H7" firstHeaderRow="1" firstDataRow="1" firstDataCol="1"/>
  <pivotFields count="12">
    <pivotField showAll="0"/>
    <pivotField numFmtId="14" showAll="0"/>
    <pivotField showAll="0">
      <items count="4">
        <item x="1"/>
        <item x="0"/>
        <item x="2"/>
        <item t="default"/>
      </items>
    </pivotField>
    <pivotField showAll="0"/>
    <pivotField showAll="0">
      <items count="5">
        <item x="1"/>
        <item h="1" x="0"/>
        <item h="1" x="3"/>
        <item h="1" x="2"/>
        <item t="default"/>
      </items>
    </pivotField>
    <pivotField showAll="0"/>
    <pivotField axis="axisRow"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6"/>
  </rowFields>
  <rowItems count="4">
    <i>
      <x v="4"/>
    </i>
    <i>
      <x v="3"/>
    </i>
    <i>
      <x/>
    </i>
    <i t="grand">
      <x/>
    </i>
  </rowItems>
  <colItems count="1">
    <i/>
  </colItems>
  <dataFields count="1">
    <dataField name="Sum of amount" fld="10" baseField="0" baseItem="0"/>
  </dataFields>
  <chartFormats count="7">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6" count="1" selected="0">
            <x v="0"/>
          </reference>
        </references>
      </pivotArea>
    </chartFormat>
    <chartFormat chart="36" format="4">
      <pivotArea type="data" outline="0" fieldPosition="0">
        <references count="2">
          <reference field="4294967294" count="1" selected="0">
            <x v="0"/>
          </reference>
          <reference field="6" count="1" selected="0">
            <x v="1"/>
          </reference>
        </references>
      </pivotArea>
    </chartFormat>
    <chartFormat chart="36" format="5">
      <pivotArea type="data" outline="0" fieldPosition="0">
        <references count="2">
          <reference field="4294967294" count="1" selected="0">
            <x v="0"/>
          </reference>
          <reference field="6" count="1" selected="0">
            <x v="2"/>
          </reference>
        </references>
      </pivotArea>
    </chartFormat>
    <chartFormat chart="36" format="6">
      <pivotArea type="data" outline="0" fieldPosition="0">
        <references count="2">
          <reference field="4294967294" count="1" selected="0">
            <x v="0"/>
          </reference>
          <reference field="6" count="1" selected="0">
            <x v="3"/>
          </reference>
        </references>
      </pivotArea>
    </chartFormat>
    <chartFormat chart="36" format="7">
      <pivotArea type="data" outline="0" fieldPosition="0">
        <references count="2">
          <reference field="4294967294" count="1" selected="0">
            <x v="0"/>
          </reference>
          <reference field="6" count="1" selected="0">
            <x v="4"/>
          </reference>
        </references>
      </pivotArea>
    </chartFormat>
    <chartFormat chart="3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4D4DE1-5F2E-4DDE-B89B-BBD5B2A80EA8}"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2:B26" firstHeaderRow="1" firstDataRow="1" firstDataCol="1"/>
  <pivotFields count="12">
    <pivotField showAll="0"/>
    <pivotField numFmtId="14" showAll="0"/>
    <pivotField showAll="0">
      <items count="4">
        <item x="1"/>
        <item x="0"/>
        <item x="2"/>
        <item t="default"/>
      </items>
    </pivotField>
    <pivotField showAll="0"/>
    <pivotField showAll="0">
      <items count="5">
        <item x="1"/>
        <item h="1" x="0"/>
        <item h="1" x="3"/>
        <item h="1" x="2"/>
        <item t="default"/>
      </items>
    </pivotField>
    <pivotField showAll="0"/>
    <pivotField axis="axisRow" showAll="0">
      <items count="6">
        <item x="2"/>
        <item x="0"/>
        <item x="3"/>
        <item x="1"/>
        <item x="4"/>
        <item t="default"/>
      </items>
    </pivotField>
    <pivotField showAll="0"/>
    <pivotField showAll="0"/>
    <pivotField dataField="1" showAll="0"/>
    <pivotField showAll="0"/>
    <pivotField showAll="0"/>
  </pivotFields>
  <rowFields count="1">
    <field x="6"/>
  </rowFields>
  <rowItems count="4">
    <i>
      <x/>
    </i>
    <i>
      <x v="3"/>
    </i>
    <i>
      <x v="4"/>
    </i>
    <i t="grand">
      <x/>
    </i>
  </rowItems>
  <colItems count="1">
    <i/>
  </colItems>
  <dataFields count="1">
    <dataField name="Sum of Q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DD877F-EE98-46F7-9A94-35314B33C2ED}"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M3:N7" firstHeaderRow="1" firstDataRow="1" firstDataCol="1"/>
  <pivotFields count="12">
    <pivotField showAll="0"/>
    <pivotField axis="axisRow" numFmtId="14" showAll="0">
      <items count="7">
        <item x="0"/>
        <item x="1"/>
        <item x="2"/>
        <item x="3"/>
        <item x="4"/>
        <item x="5"/>
        <item t="default"/>
      </items>
    </pivotField>
    <pivotField showAll="0">
      <items count="4">
        <item x="1"/>
        <item x="0"/>
        <item x="2"/>
        <item t="default"/>
      </items>
    </pivotField>
    <pivotField showAll="0"/>
    <pivotField showAll="0">
      <items count="5">
        <item x="1"/>
        <item h="1" x="0"/>
        <item h="1" x="3"/>
        <item h="1" x="2"/>
        <item t="default"/>
      </items>
    </pivotField>
    <pivotField showAll="0"/>
    <pivotField showAll="0">
      <items count="6">
        <item x="2"/>
        <item x="0"/>
        <item x="3"/>
        <item x="1"/>
        <item x="4"/>
        <item t="default"/>
      </items>
    </pivotField>
    <pivotField showAll="0"/>
    <pivotField showAll="0"/>
    <pivotField showAll="0"/>
    <pivotField dataField="1" showAll="0"/>
    <pivotField showAll="0"/>
  </pivotFields>
  <rowFields count="1">
    <field x="1"/>
  </rowFields>
  <rowItems count="4">
    <i>
      <x v="2"/>
    </i>
    <i>
      <x v="3"/>
    </i>
    <i>
      <x v="4"/>
    </i>
    <i t="grand">
      <x/>
    </i>
  </rowItems>
  <colItems count="1">
    <i/>
  </colItems>
  <dataFields count="1">
    <dataField name="Sum of amount" fld="10" baseField="0" baseItem="0"/>
  </dataFields>
  <chartFormats count="2">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9BD5A6B-B11F-4295-8020-391FD1C8DF1F}" sourceName="YEAR">
  <pivotTables>
    <pivotTable tabId="2" name="PivotTable1"/>
    <pivotTable tabId="2" name="PivotTable2"/>
    <pivotTable tabId="2" name="PivotTable3"/>
    <pivotTable tabId="2" name="PivotTable4"/>
    <pivotTable tabId="2" name="PivotTable5"/>
  </pivotTables>
  <data>
    <tabular pivotCacheId="189493202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E4ACE10-0626-4462-863A-3024B13ADAC1}" sourceName="REGION">
  <pivotTables>
    <pivotTable tabId="2" name="PivotTable1"/>
    <pivotTable tabId="2" name="PivotTable2"/>
    <pivotTable tabId="2" name="PivotTable3"/>
    <pivotTable tabId="2" name="PivotTable4"/>
    <pivotTable tabId="2" name="PivotTable5"/>
  </pivotTables>
  <data>
    <tabular pivotCacheId="1894932028">
      <items count="4">
        <i x="1" s="1"/>
        <i x="0"/>
        <i x="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45A539-87E4-4DF1-A886-39CB6F3B283F}" sourceName="CATEGORY">
  <pivotTables>
    <pivotTable tabId="2" name="PivotTable1"/>
    <pivotTable tabId="2" name="PivotTable2"/>
    <pivotTable tabId="2" name="PivotTable3"/>
    <pivotTable tabId="2" name="PivotTable4"/>
    <pivotTable tabId="2" name="PivotTable5"/>
  </pivotTables>
  <data>
    <tabular pivotCacheId="1894932028">
      <items count="5">
        <i x="2" s="1"/>
        <i x="1" s="1"/>
        <i x="4"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B8860EB-718B-444A-A639-ADA6639F2DE8}" cache="Slicer_YEAR" caption="YEAR" columnCount="4" rowHeight="241300"/>
  <slicer name="REGION 2" xr10:uid="{7D3446A0-BDD1-4C91-9312-FEF6789185F3}" cache="Slicer_REGION1" caption="REGION" columnCount="4" rowHeight="241300"/>
  <slicer name="CATEGORY 1" xr10:uid="{4DE13768-91C9-44B6-A3B8-5E66BA808E66}" cache="Slicer_CATEGORY" caption="CATEGO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FD28B0-9740-4484-B17E-84AFD5F4FACE}" name="Table4" displayName="Table4" ref="A1:L16" totalsRowShown="0" headerRowDxfId="13" dataDxfId="12">
  <autoFilter ref="A1:L16" xr:uid="{8B11168F-5DD8-49DD-B6F9-1908FD0DBFEA}"/>
  <tableColumns count="12">
    <tableColumn id="1" xr3:uid="{6F880644-7DC9-44F6-A19D-C462EA048D97}" name="Column1" dataDxfId="11"/>
    <tableColumn id="2" xr3:uid="{DDCD2BE0-30DE-4C71-975D-3DCE6F1299BB}" name="ORDER DATE" dataDxfId="10"/>
    <tableColumn id="3" xr3:uid="{20077AF7-DD15-49E0-9ECE-4327BADF47CF}" name="YEAR" dataDxfId="9"/>
    <tableColumn id="4" xr3:uid="{B7DABA42-AC2D-4E3B-94C2-7F720D3DC419}" name="CUSTOMER ID" dataDxfId="8"/>
    <tableColumn id="5" xr3:uid="{FD6DDE52-3F46-445F-B15B-716A7F7D1729}" name="REGION" dataDxfId="7"/>
    <tableColumn id="6" xr3:uid="{90A835B3-C5B3-491C-842B-04824B4BC95A}" name="CUSTOMER NAME" dataDxfId="6"/>
    <tableColumn id="7" xr3:uid="{C8A85FB3-FC11-4EAE-8EBE-02CD1E0CA2C4}" name="CATEGORY" dataDxfId="5"/>
    <tableColumn id="8" xr3:uid="{006C57D7-3F28-4E00-A691-848B8E2E101D}" name="PRODUCT" dataDxfId="4"/>
    <tableColumn id="9" xr3:uid="{0A3D7C41-92E4-49F4-8D02-69FAAEA12982}" name="PRICE" dataDxfId="3"/>
    <tableColumn id="10" xr3:uid="{6FC459D9-664A-492F-926F-54135B6FAB0A}" name="QTY" dataDxfId="2"/>
    <tableColumn id="11" xr3:uid="{8124AB90-7150-4F2E-94F4-7BF44C2E81E7}" name="amount" dataDxfId="1">
      <calculatedColumnFormula>Table4[[#This Row],[PRICE]]*Table4[[#This Row],[QTY]]</calculatedColumnFormula>
    </tableColumn>
    <tableColumn id="12" xr3:uid="{C8613542-3684-43DA-94C9-A6EECF6CAC34}" name="profit 10%" dataDxfId="0">
      <calculatedColumnFormula>Table4[[#This Row],[amount]]*10%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063FE-2DD4-4479-A635-0B0E5B9DDE33}">
  <dimension ref="A1:L16"/>
  <sheetViews>
    <sheetView tabSelected="1" workbookViewId="0">
      <selection activeCell="C19" sqref="C19"/>
    </sheetView>
  </sheetViews>
  <sheetFormatPr defaultRowHeight="15" x14ac:dyDescent="0.25"/>
  <cols>
    <col min="1" max="1" width="14.85546875" customWidth="1"/>
    <col min="2" max="2" width="16.42578125" customWidth="1"/>
    <col min="3" max="3" width="12" customWidth="1"/>
    <col min="4" max="4" width="18.7109375" customWidth="1"/>
    <col min="5" max="5" width="14.5703125" customWidth="1"/>
    <col min="6" max="6" width="22.5703125" customWidth="1"/>
    <col min="7" max="7" width="14.85546875" customWidth="1"/>
    <col min="8" max="8" width="15.140625" customWidth="1"/>
    <col min="9" max="9" width="12.140625" customWidth="1"/>
    <col min="10" max="10" width="12" customWidth="1"/>
    <col min="11" max="11" width="12.5703125" customWidth="1"/>
    <col min="12" max="12" width="16.28515625" customWidth="1"/>
  </cols>
  <sheetData>
    <row r="1" spans="1:12" x14ac:dyDescent="0.25">
      <c r="A1" s="3" t="s">
        <v>80</v>
      </c>
      <c r="B1" s="3" t="s">
        <v>79</v>
      </c>
      <c r="C1" s="3" t="s">
        <v>78</v>
      </c>
      <c r="D1" s="3" t="s">
        <v>77</v>
      </c>
      <c r="E1" s="3" t="s">
        <v>76</v>
      </c>
      <c r="F1" s="3" t="s">
        <v>75</v>
      </c>
      <c r="G1" s="3" t="s">
        <v>74</v>
      </c>
      <c r="H1" s="3" t="s">
        <v>73</v>
      </c>
      <c r="I1" s="3" t="s">
        <v>72</v>
      </c>
      <c r="J1" s="3" t="s">
        <v>71</v>
      </c>
      <c r="K1" s="3" t="s">
        <v>70</v>
      </c>
      <c r="L1" s="3" t="s">
        <v>69</v>
      </c>
    </row>
    <row r="2" spans="1:12" x14ac:dyDescent="0.25">
      <c r="A2" s="1" t="s">
        <v>68</v>
      </c>
      <c r="B2" s="2">
        <v>45363</v>
      </c>
      <c r="C2" s="1">
        <v>2024</v>
      </c>
      <c r="D2" s="1" t="s">
        <v>67</v>
      </c>
      <c r="E2" s="1" t="s">
        <v>9</v>
      </c>
      <c r="F2" s="1" t="s">
        <v>66</v>
      </c>
      <c r="G2" s="1" t="s">
        <v>1</v>
      </c>
      <c r="H2" s="1" t="s">
        <v>65</v>
      </c>
      <c r="I2" s="1">
        <v>489.99</v>
      </c>
      <c r="J2" s="1">
        <v>4</v>
      </c>
      <c r="K2" s="1">
        <f>Table4[[#This Row],[PRICE]]*Table4[[#This Row],[QTY]]</f>
        <v>1959.96</v>
      </c>
      <c r="L2" s="1">
        <f>Table4[[#This Row],[amount]]*10%</f>
        <v>195.99600000000001</v>
      </c>
    </row>
    <row r="3" spans="1:12" x14ac:dyDescent="0.25">
      <c r="A3" s="1" t="s">
        <v>64</v>
      </c>
      <c r="B3" s="2">
        <v>45132</v>
      </c>
      <c r="C3" s="1">
        <v>2023</v>
      </c>
      <c r="D3" s="1" t="s">
        <v>63</v>
      </c>
      <c r="E3" s="1" t="s">
        <v>15</v>
      </c>
      <c r="F3" s="1" t="s">
        <v>62</v>
      </c>
      <c r="G3" s="1" t="s">
        <v>19</v>
      </c>
      <c r="H3" s="1" t="s">
        <v>61</v>
      </c>
      <c r="I3" s="1">
        <v>214.5</v>
      </c>
      <c r="J3" s="1">
        <v>2</v>
      </c>
      <c r="K3" s="1">
        <f>Table4[[#This Row],[PRICE]]*Table4[[#This Row],[QTY]]</f>
        <v>429</v>
      </c>
      <c r="L3" s="1">
        <f>Table4[[#This Row],[amount]]*10%</f>
        <v>42.900000000000006</v>
      </c>
    </row>
    <row r="4" spans="1:12" x14ac:dyDescent="0.25">
      <c r="A4" s="1" t="s">
        <v>60</v>
      </c>
      <c r="B4" s="2">
        <v>45698</v>
      </c>
      <c r="C4" s="1">
        <v>2025</v>
      </c>
      <c r="D4" s="1" t="s">
        <v>59</v>
      </c>
      <c r="E4" s="1" t="s">
        <v>26</v>
      </c>
      <c r="F4" s="1" t="s">
        <v>58</v>
      </c>
      <c r="G4" s="1" t="s">
        <v>13</v>
      </c>
      <c r="H4" s="1" t="s">
        <v>57</v>
      </c>
      <c r="I4" s="1">
        <v>79.95</v>
      </c>
      <c r="J4" s="1">
        <v>3</v>
      </c>
      <c r="K4" s="1">
        <f>Table4[[#This Row],[PRICE]]*Table4[[#This Row],[QTY]]</f>
        <v>239.85000000000002</v>
      </c>
      <c r="L4" s="1">
        <f>Table4[[#This Row],[amount]]*10%</f>
        <v>23.985000000000003</v>
      </c>
    </row>
    <row r="5" spans="1:12" x14ac:dyDescent="0.25">
      <c r="A5" s="1" t="s">
        <v>56</v>
      </c>
      <c r="B5" s="2">
        <v>45183</v>
      </c>
      <c r="C5" s="1">
        <v>2023</v>
      </c>
      <c r="D5" s="1" t="s">
        <v>55</v>
      </c>
      <c r="E5" s="1" t="s">
        <v>3</v>
      </c>
      <c r="F5" s="1" t="s">
        <v>54</v>
      </c>
      <c r="G5" s="1" t="s">
        <v>7</v>
      </c>
      <c r="H5" s="1" t="s">
        <v>53</v>
      </c>
      <c r="I5" s="1">
        <v>15.25</v>
      </c>
      <c r="J5" s="1">
        <v>6</v>
      </c>
      <c r="K5" s="1">
        <f>Table4[[#This Row],[PRICE]]*Table4[[#This Row],[QTY]]</f>
        <v>91.5</v>
      </c>
      <c r="L5" s="1">
        <f>Table4[[#This Row],[amount]]*10%</f>
        <v>9.15</v>
      </c>
    </row>
    <row r="6" spans="1:12" ht="17.25" customHeight="1" x14ac:dyDescent="0.25">
      <c r="A6" s="1" t="s">
        <v>52</v>
      </c>
      <c r="B6" s="2">
        <v>45648</v>
      </c>
      <c r="C6" s="1">
        <v>2024</v>
      </c>
      <c r="D6" s="1" t="s">
        <v>51</v>
      </c>
      <c r="E6" s="1" t="s">
        <v>15</v>
      </c>
      <c r="F6" s="1" t="s">
        <v>50</v>
      </c>
      <c r="G6" s="1" t="s">
        <v>24</v>
      </c>
      <c r="H6" s="1" t="s">
        <v>49</v>
      </c>
      <c r="I6" s="1">
        <v>329</v>
      </c>
      <c r="J6" s="1">
        <v>1</v>
      </c>
      <c r="K6" s="1">
        <f>Table4[[#This Row],[PRICE]]*Table4[[#This Row],[QTY]]</f>
        <v>329</v>
      </c>
      <c r="L6" s="1">
        <f>Table4[[#This Row],[amount]]*10%</f>
        <v>32.9</v>
      </c>
    </row>
    <row r="7" spans="1:12" x14ac:dyDescent="0.25">
      <c r="A7" s="1" t="s">
        <v>48</v>
      </c>
      <c r="B7" s="2">
        <v>45662</v>
      </c>
      <c r="C7" s="1">
        <v>2025</v>
      </c>
      <c r="D7" s="1" t="s">
        <v>47</v>
      </c>
      <c r="E7" s="1" t="s">
        <v>9</v>
      </c>
      <c r="F7" s="1" t="s">
        <v>46</v>
      </c>
      <c r="G7" s="1" t="s">
        <v>1</v>
      </c>
      <c r="H7" s="1" t="s">
        <v>45</v>
      </c>
      <c r="I7" s="1">
        <v>189.75</v>
      </c>
      <c r="J7" s="1">
        <v>5</v>
      </c>
      <c r="K7" s="1">
        <f>Table4[[#This Row],[PRICE]]*Table4[[#This Row],[QTY]]</f>
        <v>948.75</v>
      </c>
      <c r="L7" s="1">
        <f>Table4[[#This Row],[amount]]*10%</f>
        <v>94.875</v>
      </c>
    </row>
    <row r="8" spans="1:12" x14ac:dyDescent="0.25">
      <c r="A8" s="1" t="s">
        <v>44</v>
      </c>
      <c r="B8" s="2">
        <v>45095</v>
      </c>
      <c r="C8" s="1">
        <v>2023</v>
      </c>
      <c r="D8" s="1" t="s">
        <v>43</v>
      </c>
      <c r="E8" s="1" t="s">
        <v>26</v>
      </c>
      <c r="F8" s="1" t="s">
        <v>42</v>
      </c>
      <c r="G8" s="1" t="s">
        <v>19</v>
      </c>
      <c r="H8" s="1" t="s">
        <v>41</v>
      </c>
      <c r="I8" s="1">
        <v>125.9</v>
      </c>
      <c r="J8" s="1">
        <v>2</v>
      </c>
      <c r="K8" s="1">
        <f>Table4[[#This Row],[PRICE]]*Table4[[#This Row],[QTY]]</f>
        <v>251.8</v>
      </c>
      <c r="L8" s="1">
        <f>Table4[[#This Row],[amount]]*10%</f>
        <v>25.180000000000003</v>
      </c>
    </row>
    <row r="9" spans="1:12" x14ac:dyDescent="0.25">
      <c r="A9" s="1" t="s">
        <v>40</v>
      </c>
      <c r="B9" s="2">
        <v>45412</v>
      </c>
      <c r="C9" s="1">
        <v>2024</v>
      </c>
      <c r="D9" s="1" t="s">
        <v>39</v>
      </c>
      <c r="E9" s="1" t="s">
        <v>3</v>
      </c>
      <c r="F9" s="1" t="s">
        <v>38</v>
      </c>
      <c r="G9" s="1" t="s">
        <v>7</v>
      </c>
      <c r="H9" s="1" t="s">
        <v>37</v>
      </c>
      <c r="I9" s="1">
        <v>12.4</v>
      </c>
      <c r="J9" s="1">
        <v>10</v>
      </c>
      <c r="K9" s="1">
        <f>Table4[[#This Row],[PRICE]]*Table4[[#This Row],[QTY]]</f>
        <v>124</v>
      </c>
      <c r="L9" s="1">
        <f>Table4[[#This Row],[amount]]*10%</f>
        <v>12.4</v>
      </c>
    </row>
    <row r="10" spans="1:12" x14ac:dyDescent="0.25">
      <c r="A10" s="1" t="s">
        <v>36</v>
      </c>
      <c r="B10" s="2">
        <v>45567</v>
      </c>
      <c r="C10" s="1">
        <v>2024</v>
      </c>
      <c r="D10" s="1" t="s">
        <v>35</v>
      </c>
      <c r="E10" s="1" t="s">
        <v>15</v>
      </c>
      <c r="F10" s="1" t="s">
        <v>34</v>
      </c>
      <c r="G10" s="1" t="s">
        <v>13</v>
      </c>
      <c r="H10" s="1" t="s">
        <v>33</v>
      </c>
      <c r="I10" s="1">
        <v>59.3</v>
      </c>
      <c r="J10" s="1">
        <v>1</v>
      </c>
      <c r="K10" s="1">
        <f>Table4[[#This Row],[PRICE]]*Table4[[#This Row],[QTY]]</f>
        <v>59.3</v>
      </c>
      <c r="L10" s="1">
        <f>Table4[[#This Row],[amount]]*10%</f>
        <v>5.93</v>
      </c>
    </row>
    <row r="11" spans="1:12" ht="17.25" customHeight="1" x14ac:dyDescent="0.25">
      <c r="A11" s="1" t="s">
        <v>32</v>
      </c>
      <c r="B11" s="2">
        <v>45724</v>
      </c>
      <c r="C11" s="1">
        <v>2025</v>
      </c>
      <c r="D11" s="1" t="s">
        <v>31</v>
      </c>
      <c r="E11" s="1" t="s">
        <v>9</v>
      </c>
      <c r="F11" s="1" t="s">
        <v>30</v>
      </c>
      <c r="G11" s="1" t="s">
        <v>1</v>
      </c>
      <c r="H11" s="1" t="s">
        <v>29</v>
      </c>
      <c r="I11" s="1">
        <v>425.6</v>
      </c>
      <c r="J11" s="1">
        <v>2</v>
      </c>
      <c r="K11" s="1">
        <f>Table4[[#This Row],[PRICE]]*Table4[[#This Row],[QTY]]</f>
        <v>851.2</v>
      </c>
      <c r="L11" s="1">
        <f>Table4[[#This Row],[amount]]*10%</f>
        <v>85.12</v>
      </c>
    </row>
    <row r="12" spans="1:12" ht="18" customHeight="1" x14ac:dyDescent="0.25">
      <c r="A12" s="1" t="s">
        <v>28</v>
      </c>
      <c r="B12" s="2">
        <v>45245</v>
      </c>
      <c r="C12" s="1">
        <v>2023</v>
      </c>
      <c r="D12" s="1" t="s">
        <v>27</v>
      </c>
      <c r="E12" s="1" t="s">
        <v>26</v>
      </c>
      <c r="F12" s="1" t="s">
        <v>25</v>
      </c>
      <c r="G12" s="1" t="s">
        <v>24</v>
      </c>
      <c r="H12" s="1" t="s">
        <v>23</v>
      </c>
      <c r="I12" s="1">
        <v>23.5</v>
      </c>
      <c r="J12" s="1">
        <v>12</v>
      </c>
      <c r="K12" s="1">
        <f>Table4[[#This Row],[PRICE]]*Table4[[#This Row],[QTY]]</f>
        <v>282</v>
      </c>
      <c r="L12" s="1">
        <f>Table4[[#This Row],[amount]]*10%</f>
        <v>28.200000000000003</v>
      </c>
    </row>
    <row r="13" spans="1:12" x14ac:dyDescent="0.25">
      <c r="A13" s="1" t="s">
        <v>22</v>
      </c>
      <c r="B13" s="2">
        <v>45482</v>
      </c>
      <c r="C13" s="1">
        <v>2024</v>
      </c>
      <c r="D13" s="1" t="s">
        <v>21</v>
      </c>
      <c r="E13" s="1" t="s">
        <v>3</v>
      </c>
      <c r="F13" s="1" t="s">
        <v>20</v>
      </c>
      <c r="G13" s="1" t="s">
        <v>19</v>
      </c>
      <c r="H13" s="1" t="s">
        <v>18</v>
      </c>
      <c r="I13" s="1">
        <v>178.99</v>
      </c>
      <c r="J13" s="1">
        <v>1</v>
      </c>
      <c r="K13" s="1">
        <f>Table4[[#This Row],[PRICE]]*Table4[[#This Row],[QTY]]</f>
        <v>178.99</v>
      </c>
      <c r="L13" s="1">
        <f>Table4[[#This Row],[amount]]*10%</f>
        <v>17.899000000000001</v>
      </c>
    </row>
    <row r="14" spans="1:12" x14ac:dyDescent="0.25">
      <c r="A14" s="1" t="s">
        <v>17</v>
      </c>
      <c r="B14" s="2">
        <v>45794</v>
      </c>
      <c r="C14" s="1">
        <v>2025</v>
      </c>
      <c r="D14" s="1" t="s">
        <v>16</v>
      </c>
      <c r="E14" s="1" t="s">
        <v>15</v>
      </c>
      <c r="F14" s="1" t="s">
        <v>14</v>
      </c>
      <c r="G14" s="1" t="s">
        <v>13</v>
      </c>
      <c r="H14" s="1" t="s">
        <v>12</v>
      </c>
      <c r="I14" s="1">
        <v>95</v>
      </c>
      <c r="J14" s="1">
        <v>4</v>
      </c>
      <c r="K14" s="1">
        <f>Table4[[#This Row],[PRICE]]*Table4[[#This Row],[QTY]]</f>
        <v>380</v>
      </c>
      <c r="L14" s="1">
        <f>Table4[[#This Row],[amount]]*10%</f>
        <v>38</v>
      </c>
    </row>
    <row r="15" spans="1:12" x14ac:dyDescent="0.25">
      <c r="A15" s="1" t="s">
        <v>11</v>
      </c>
      <c r="B15" s="2">
        <v>45348</v>
      </c>
      <c r="C15" s="1">
        <v>2024</v>
      </c>
      <c r="D15" s="1" t="s">
        <v>10</v>
      </c>
      <c r="E15" s="1" t="s">
        <v>9</v>
      </c>
      <c r="F15" s="1" t="s">
        <v>8</v>
      </c>
      <c r="G15" s="1" t="s">
        <v>7</v>
      </c>
      <c r="H15" s="1" t="s">
        <v>6</v>
      </c>
      <c r="I15" s="1">
        <v>8.75</v>
      </c>
      <c r="J15" s="1">
        <v>8</v>
      </c>
      <c r="K15" s="1">
        <f>Table4[[#This Row],[PRICE]]*Table4[[#This Row],[QTY]]</f>
        <v>70</v>
      </c>
      <c r="L15" s="1">
        <f>Table4[[#This Row],[amount]]*10%</f>
        <v>7</v>
      </c>
    </row>
    <row r="16" spans="1:12" x14ac:dyDescent="0.25">
      <c r="A16" s="1" t="s">
        <v>5</v>
      </c>
      <c r="B16" s="2">
        <v>45209</v>
      </c>
      <c r="C16" s="1">
        <v>2023</v>
      </c>
      <c r="D16" s="1" t="s">
        <v>4</v>
      </c>
      <c r="E16" s="1" t="s">
        <v>3</v>
      </c>
      <c r="F16" s="1" t="s">
        <v>2</v>
      </c>
      <c r="G16" s="1" t="s">
        <v>1</v>
      </c>
      <c r="H16" s="1" t="s">
        <v>0</v>
      </c>
      <c r="I16" s="1">
        <v>289.39999999999998</v>
      </c>
      <c r="J16" s="1">
        <v>3</v>
      </c>
      <c r="K16" s="1">
        <f>Table4[[#This Row],[PRICE]]*Table4[[#This Row],[QTY]]</f>
        <v>868.19999999999993</v>
      </c>
      <c r="L16" s="1">
        <f>Table4[[#This Row],[amount]]*10%</f>
        <v>86.82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3DD4D-BC4B-4496-B7F5-8251F21D340F}">
  <dimension ref="A1:N32"/>
  <sheetViews>
    <sheetView workbookViewId="0">
      <selection activeCell="E14" sqref="E14"/>
    </sheetView>
  </sheetViews>
  <sheetFormatPr defaultRowHeight="15" x14ac:dyDescent="0.25"/>
  <cols>
    <col min="1" max="1" width="14.5703125" bestFit="1" customWidth="1"/>
    <col min="2" max="3" width="11.140625" bestFit="1" customWidth="1"/>
    <col min="4" max="5" width="16.7109375" bestFit="1" customWidth="1"/>
    <col min="7" max="8" width="14.5703125" bestFit="1" customWidth="1"/>
    <col min="9" max="9" width="12.5703125" bestFit="1" customWidth="1"/>
    <col min="10" max="10" width="13.140625" bestFit="1" customWidth="1"/>
    <col min="11" max="11" width="14.5703125" bestFit="1" customWidth="1"/>
    <col min="13" max="13" width="13.140625" bestFit="1" customWidth="1"/>
    <col min="14" max="14" width="14.5703125" bestFit="1" customWidth="1"/>
  </cols>
  <sheetData>
    <row r="1" spans="1:14" x14ac:dyDescent="0.25">
      <c r="A1" s="9" t="s">
        <v>93</v>
      </c>
      <c r="B1" s="9"/>
      <c r="G1" s="9" t="s">
        <v>92</v>
      </c>
      <c r="H1" s="9"/>
      <c r="J1" s="9" t="s">
        <v>91</v>
      </c>
      <c r="K1" s="9"/>
      <c r="M1" s="9" t="s">
        <v>90</v>
      </c>
      <c r="N1" s="9"/>
    </row>
    <row r="3" spans="1:14" x14ac:dyDescent="0.25">
      <c r="A3" s="6" t="s">
        <v>83</v>
      </c>
      <c r="B3" t="s">
        <v>88</v>
      </c>
      <c r="C3" t="s">
        <v>82</v>
      </c>
      <c r="D3" t="s">
        <v>89</v>
      </c>
      <c r="G3" s="6" t="s">
        <v>83</v>
      </c>
      <c r="H3" t="s">
        <v>88</v>
      </c>
      <c r="J3" s="6" t="s">
        <v>83</v>
      </c>
      <c r="K3" t="s">
        <v>88</v>
      </c>
      <c r="M3" s="6" t="s">
        <v>83</v>
      </c>
      <c r="N3" t="s">
        <v>88</v>
      </c>
    </row>
    <row r="4" spans="1:14" x14ac:dyDescent="0.25">
      <c r="A4" s="8" t="s">
        <v>87</v>
      </c>
      <c r="B4" s="4">
        <v>380</v>
      </c>
      <c r="C4" s="4">
        <v>4</v>
      </c>
      <c r="D4" s="4">
        <v>38</v>
      </c>
      <c r="G4" s="5" t="s">
        <v>24</v>
      </c>
      <c r="H4" s="4">
        <v>329</v>
      </c>
      <c r="J4" s="5" t="s">
        <v>61</v>
      </c>
      <c r="K4" s="4">
        <v>429</v>
      </c>
      <c r="M4" s="8" t="s">
        <v>87</v>
      </c>
      <c r="N4" s="4">
        <v>380</v>
      </c>
    </row>
    <row r="5" spans="1:14" x14ac:dyDescent="0.25">
      <c r="A5" s="8" t="s">
        <v>86</v>
      </c>
      <c r="B5" s="4">
        <v>429</v>
      </c>
      <c r="C5" s="4">
        <v>2</v>
      </c>
      <c r="D5" s="4">
        <v>42.900000000000006</v>
      </c>
      <c r="G5" s="5" t="s">
        <v>19</v>
      </c>
      <c r="H5" s="4">
        <v>429</v>
      </c>
      <c r="J5" s="5" t="s">
        <v>33</v>
      </c>
      <c r="K5" s="4">
        <v>59.3</v>
      </c>
      <c r="M5" s="8" t="s">
        <v>86</v>
      </c>
      <c r="N5" s="4">
        <v>429</v>
      </c>
    </row>
    <row r="6" spans="1:14" x14ac:dyDescent="0.25">
      <c r="A6" s="8" t="s">
        <v>85</v>
      </c>
      <c r="B6" s="4">
        <v>388.3</v>
      </c>
      <c r="C6" s="4">
        <v>2</v>
      </c>
      <c r="D6" s="4">
        <v>38.83</v>
      </c>
      <c r="G6" s="5" t="s">
        <v>13</v>
      </c>
      <c r="H6" s="4">
        <v>439.3</v>
      </c>
      <c r="J6" s="5" t="s">
        <v>49</v>
      </c>
      <c r="K6" s="4">
        <v>329</v>
      </c>
      <c r="M6" s="8" t="s">
        <v>85</v>
      </c>
      <c r="N6" s="4">
        <v>388.3</v>
      </c>
    </row>
    <row r="7" spans="1:14" x14ac:dyDescent="0.25">
      <c r="A7" s="8" t="s">
        <v>81</v>
      </c>
      <c r="B7" s="4">
        <v>1197.3</v>
      </c>
      <c r="C7" s="4">
        <v>8</v>
      </c>
      <c r="D7" s="4">
        <v>119.73</v>
      </c>
      <c r="G7" s="5" t="s">
        <v>81</v>
      </c>
      <c r="H7" s="4">
        <v>1197.3</v>
      </c>
      <c r="J7" s="5" t="s">
        <v>12</v>
      </c>
      <c r="K7" s="4">
        <v>380</v>
      </c>
      <c r="M7" s="8" t="s">
        <v>81</v>
      </c>
      <c r="N7" s="4">
        <v>1197.3</v>
      </c>
    </row>
    <row r="8" spans="1:14" x14ac:dyDescent="0.25">
      <c r="J8" s="5" t="s">
        <v>81</v>
      </c>
      <c r="K8" s="4">
        <v>1197.3</v>
      </c>
    </row>
    <row r="14" spans="1:14" ht="44.25" customHeight="1" x14ac:dyDescent="0.25"/>
    <row r="18" spans="1:2" ht="14.25" customHeight="1" x14ac:dyDescent="0.25"/>
    <row r="19" spans="1:2" ht="16.5" customHeight="1" x14ac:dyDescent="0.25"/>
    <row r="20" spans="1:2" x14ac:dyDescent="0.25">
      <c r="A20" s="7" t="s">
        <v>84</v>
      </c>
      <c r="B20" s="7"/>
    </row>
    <row r="22" spans="1:2" x14ac:dyDescent="0.25">
      <c r="A22" s="6" t="s">
        <v>83</v>
      </c>
      <c r="B22" t="s">
        <v>82</v>
      </c>
    </row>
    <row r="23" spans="1:2" x14ac:dyDescent="0.25">
      <c r="A23" s="5" t="s">
        <v>13</v>
      </c>
      <c r="B23" s="4">
        <v>5</v>
      </c>
    </row>
    <row r="24" spans="1:2" x14ac:dyDescent="0.25">
      <c r="A24" s="5" t="s">
        <v>19</v>
      </c>
      <c r="B24" s="4">
        <v>2</v>
      </c>
    </row>
    <row r="25" spans="1:2" x14ac:dyDescent="0.25">
      <c r="A25" s="5" t="s">
        <v>24</v>
      </c>
      <c r="B25" s="4">
        <v>1</v>
      </c>
    </row>
    <row r="26" spans="1:2" x14ac:dyDescent="0.25">
      <c r="A26" s="5" t="s">
        <v>81</v>
      </c>
      <c r="B26" s="4">
        <v>8</v>
      </c>
    </row>
    <row r="32" spans="1:2" ht="18" customHeight="1" x14ac:dyDescent="0.25"/>
  </sheetData>
  <mergeCells count="5">
    <mergeCell ref="A1:B1"/>
    <mergeCell ref="G1:H1"/>
    <mergeCell ref="J1:K1"/>
    <mergeCell ref="M1:N1"/>
    <mergeCell ref="A20:B20"/>
  </mergeCells>
  <pageMargins left="0.7" right="0.7" top="0.75" bottom="0.75" header="0.3" footer="0.3"/>
  <pageSetup orientation="portrait" r:id="rId6"/>
  <extLst>
    <ext xmlns:x14="http://schemas.microsoft.com/office/spreadsheetml/2009/9/main" uri="{05C60535-1F16-4fd2-B633-F4F36F0B64E0}">
      <x14:sparklineGroups xmlns:xm="http://schemas.microsoft.com/office/excel/2006/main">
        <x14:sparklineGroup type="column" displayEmptyCellsAs="gap" high="1" xr2:uid="{01327785-63C0-413C-B2D4-58C20C47158F}">
          <x14:colorSeries rgb="FF323232"/>
          <x14:colorNegative rgb="FFD00000"/>
          <x14:colorAxis rgb="FF000000"/>
          <x14:colorMarkers rgb="FFD00000"/>
          <x14:colorFirst rgb="FFD00000"/>
          <x14:colorLast rgb="FFD00000"/>
          <x14:colorHigh rgb="FFD00000"/>
          <x14:colorLow rgb="FFD00000"/>
          <x14:sparklines>
            <x14:sparkline>
              <xm:f>'PIVOT TABLES'!B4:B14</xm:f>
              <xm:sqref>B14</xm:sqref>
            </x14:sparkline>
            <x14:sparkline>
              <xm:f>'PIVOT TABLES'!C4:C14</xm:f>
              <xm:sqref>C14</xm:sqref>
            </x14:sparkline>
            <x14:sparkline>
              <xm:f>'PIVOT TABLES'!D4:D14</xm:f>
              <xm:sqref>D14</xm:sqref>
            </x14:sparkline>
            <x14:sparkline>
              <xm:f>'PIVOT TABLES'!E4:E14</xm:f>
              <xm:sqref>E14</xm:sqref>
            </x14:sparkline>
          </x14:sparklines>
        </x14:sparklineGroup>
        <x14:sparklineGroup type="column" displayEmptyCellsAs="gap" high="1" xr2:uid="{46B22FEB-D701-41F0-9E5E-FAB418C9FA55}">
          <x14:colorSeries rgb="FF00B050"/>
          <x14:colorNegative rgb="FFFF0000"/>
          <x14:colorAxis rgb="FF000000"/>
          <x14:colorMarkers rgb="FF0070C0"/>
          <x14:colorFirst rgb="FFFFC000"/>
          <x14:colorLast rgb="FFFFC000"/>
          <x14:colorHigh theme="4" tint="-0.249977111117893"/>
          <x14:colorLow rgb="FFFF0000"/>
          <x14:sparklines>
            <x14:sparkline>
              <xm:f>'PIVOT TABLES'!I20:K20</xm:f>
              <xm:sqref>I21</xm:sqref>
            </x14:sparkline>
            <x14:sparkline>
              <xm:f>'PIVOT TABLES'!J20:L20</xm:f>
              <xm:sqref>J21</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85EC-AB61-466F-8FC2-9FCDB712597C}">
  <dimension ref="A1:U6"/>
  <sheetViews>
    <sheetView showGridLines="0" topLeftCell="A4" workbookViewId="0">
      <selection activeCell="G6" sqref="G6"/>
    </sheetView>
  </sheetViews>
  <sheetFormatPr defaultRowHeight="15" x14ac:dyDescent="0.25"/>
  <cols>
    <col min="1" max="16" width="9.140625" style="10"/>
    <col min="17" max="17" width="9.140625" style="10" customWidth="1"/>
    <col min="18" max="16384" width="9.140625" style="10"/>
  </cols>
  <sheetData>
    <row r="1" spans="1:21" ht="25.5" customHeight="1" x14ac:dyDescent="0.25">
      <c r="A1" s="16" t="s">
        <v>98</v>
      </c>
      <c r="B1" s="16"/>
      <c r="C1" s="16"/>
      <c r="D1" s="16"/>
      <c r="E1" s="16"/>
      <c r="F1" s="16"/>
      <c r="G1" s="16"/>
      <c r="H1" s="16"/>
      <c r="I1" s="16"/>
      <c r="J1" s="16"/>
      <c r="K1" s="16"/>
      <c r="L1" s="16"/>
      <c r="M1" s="16"/>
      <c r="N1" s="16"/>
      <c r="O1" s="16"/>
      <c r="P1" s="16"/>
      <c r="Q1" s="16"/>
      <c r="R1" s="16"/>
      <c r="S1" s="16"/>
      <c r="T1" s="16"/>
      <c r="U1" s="16"/>
    </row>
    <row r="2" spans="1:21" x14ac:dyDescent="0.25">
      <c r="B2" s="15" t="s">
        <v>97</v>
      </c>
      <c r="C2" s="15"/>
      <c r="E2" s="15" t="s">
        <v>96</v>
      </c>
      <c r="F2" s="15"/>
      <c r="H2" s="15" t="s">
        <v>95</v>
      </c>
      <c r="I2" s="15"/>
      <c r="K2" s="15" t="s">
        <v>94</v>
      </c>
      <c r="L2" s="15"/>
    </row>
    <row r="3" spans="1:21" x14ac:dyDescent="0.25">
      <c r="B3" s="12"/>
      <c r="C3" s="12"/>
      <c r="E3" s="13"/>
      <c r="F3" s="13"/>
      <c r="H3" s="13"/>
      <c r="I3" s="13"/>
      <c r="K3" s="13"/>
      <c r="L3" s="13"/>
    </row>
    <row r="4" spans="1:21" x14ac:dyDescent="0.25">
      <c r="B4" s="14">
        <f>'PIVOT TABLES'!K4:K18</f>
        <v>429</v>
      </c>
      <c r="C4" s="14"/>
      <c r="E4" s="14">
        <f>'PIVOT TABLES'!H4:H8</f>
        <v>329</v>
      </c>
      <c r="F4" s="14"/>
      <c r="H4" s="14">
        <f>'PIVOT TABLES'!N4:N7</f>
        <v>380</v>
      </c>
      <c r="I4" s="14"/>
      <c r="K4" s="14">
        <f>'PIVOT TABLES'!D4:D7</f>
        <v>38</v>
      </c>
      <c r="L4" s="14"/>
    </row>
    <row r="5" spans="1:21" x14ac:dyDescent="0.25">
      <c r="B5" s="13"/>
      <c r="C5" s="13"/>
      <c r="E5" s="13"/>
      <c r="F5" s="13"/>
      <c r="H5" s="13"/>
      <c r="I5" s="13"/>
      <c r="K5" s="13"/>
      <c r="L5" s="13"/>
    </row>
    <row r="6" spans="1:21" ht="46.5" customHeight="1" x14ac:dyDescent="0.25">
      <c r="B6" s="13"/>
      <c r="C6" s="13"/>
      <c r="E6" s="12"/>
      <c r="F6" s="12"/>
      <c r="H6" s="12"/>
      <c r="I6" s="12"/>
      <c r="K6" s="11"/>
      <c r="L6" s="11"/>
    </row>
  </sheetData>
  <mergeCells count="13">
    <mergeCell ref="H2:I2"/>
    <mergeCell ref="H4:I4"/>
    <mergeCell ref="H6:I6"/>
    <mergeCell ref="K2:L2"/>
    <mergeCell ref="K6:L6"/>
    <mergeCell ref="K4:L4"/>
    <mergeCell ref="E6:F6"/>
    <mergeCell ref="A1:U1"/>
    <mergeCell ref="B3:C3"/>
    <mergeCell ref="B2:C2"/>
    <mergeCell ref="B4:C4"/>
    <mergeCell ref="E2:F2"/>
    <mergeCell ref="E4:F4"/>
  </mergeCells>
  <pageMargins left="0.7" right="0.7" top="0.75" bottom="0.75" header="0.3" footer="0.3"/>
  <pageSetup orientation="portrait" r:id="rId1"/>
  <drawing r:id="rId2"/>
  <extLst>
    <ext xmlns:x14="http://schemas.microsoft.com/office/spreadsheetml/2009/9/main" uri="{05C60535-1F16-4fd2-B633-F4F36F0B64E0}">
      <x14:sparklineGroups xmlns:xm="http://schemas.microsoft.com/office/excel/2006/main">
        <x14:sparklineGroup type="column" displayEmptyCellsAs="gap" high="1" xr2:uid="{3EFDFF86-8D71-4EA5-A90B-64EE679F4AEF}">
          <x14:colorSeries rgb="FF376092"/>
          <x14:colorNegative rgb="FFD00000"/>
          <x14:colorAxis rgb="FF000000"/>
          <x14:colorMarkers rgb="FFD00000"/>
          <x14:colorFirst rgb="FFD00000"/>
          <x14:colorLast rgb="FFD00000"/>
          <x14:colorHigh theme="9"/>
          <x14:colorLow rgb="FFD00000"/>
          <x14:sparklines>
            <x14:sparkline>
              <xm:f>'PIVOT TABLES'!C4:C7</xm:f>
              <xm:sqref>B6</xm:sqref>
            </x14:sparkline>
            <x14:sparkline>
              <xm:f>'PIVOT TABLES'!D4:D7</xm:f>
              <xm:sqref>C6</xm:sqref>
            </x14:sparkline>
          </x14:sparklines>
        </x14:sparklineGroup>
        <x14:sparklineGroup type="column" displayEmptyCellsAs="gap" high="1" xr2:uid="{E5C55210-5F91-4CE1-B16F-D4F5CDCE3F97}">
          <x14:colorSeries rgb="FF376092"/>
          <x14:colorNegative rgb="FFD00000"/>
          <x14:colorAxis rgb="FF000000"/>
          <x14:colorMarkers rgb="FFD00000"/>
          <x14:colorFirst rgb="FFD00000"/>
          <x14:colorLast rgb="FFD00000"/>
          <x14:colorHigh theme="9"/>
          <x14:colorLow rgb="FFD00000"/>
          <x14:sparklines>
            <x14:sparkline>
              <xm:f>'PIVOT TABLES'!B4:B7</xm:f>
              <xm:sqref>E6</xm:sqref>
            </x14:sparkline>
          </x14:sparklines>
        </x14:sparklineGroup>
        <x14:sparklineGroup type="column" displayEmptyCellsAs="gap" high="1" xr2:uid="{8A8F742C-3BA9-441D-8E65-5C787099734A}">
          <x14:colorSeries rgb="FF376092"/>
          <x14:colorNegative rgb="FFD00000"/>
          <x14:colorAxis rgb="FF000000"/>
          <x14:colorMarkers rgb="FFD00000"/>
          <x14:colorFirst rgb="FFD00000"/>
          <x14:colorLast rgb="FFD00000"/>
          <x14:colorHigh theme="9"/>
          <x14:colorLow rgb="FFD00000"/>
          <x14:sparklines>
            <x14:sparkline>
              <xm:f>'PIVOT TABLES'!D4:D7</xm:f>
              <xm:sqref>H6</xm:sqref>
            </x14:sparkline>
          </x14:sparklines>
        </x14:sparklineGroup>
        <x14:sparklineGroup type="column" displayEmptyCellsAs="gap" high="1" xr2:uid="{0648388D-F1CF-4AE3-A543-026FB004B226}">
          <x14:colorSeries rgb="FF376092"/>
          <x14:colorNegative rgb="FFD00000"/>
          <x14:colorAxis rgb="FF000000"/>
          <x14:colorMarkers rgb="FFD00000"/>
          <x14:colorFirst rgb="FFD00000"/>
          <x14:colorLast rgb="FFD00000"/>
          <x14:colorHigh rgb="FF92D050"/>
          <x14:colorLow rgb="FFD00000"/>
          <x14:sparklines>
            <x14:sparkline>
              <xm:f>'PIVOT TABLES'!D4:D7</xm:f>
              <xm:sqref>K6</xm:sqref>
            </x14:sparkline>
          </x14:sparklines>
        </x14:sparklineGroup>
      </x14:sparklineGroup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2026-03-11T16:32:32Z</dcterms:created>
  <dcterms:modified xsi:type="dcterms:W3CDTF">2026-03-11T16:38:05Z</dcterms:modified>
</cp:coreProperties>
</file>